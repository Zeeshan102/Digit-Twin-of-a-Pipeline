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Internship at DTNEC\QGIS Pipeline\Excel automation\Excel files\"/>
    </mc:Choice>
  </mc:AlternateContent>
  <xr:revisionPtr revIDLastSave="0" documentId="13_ncr:1_{4EEA0C5C-0001-4419-9A39-FD4DC3B1034F}" xr6:coauthVersionLast="47" xr6:coauthVersionMax="47" xr10:uidLastSave="{00000000-0000-0000-0000-000000000000}"/>
  <bookViews>
    <workbookView xWindow="-120" yWindow="-120" windowWidth="20730" windowHeight="11160" tabRatio="741" activeTab="1" xr2:uid="{00000000-000D-0000-FFFF-FFFF00000000}"/>
  </bookViews>
  <sheets>
    <sheet name="UserInterface" sheetId="7" r:id="rId1"/>
    <sheet name="QGIS" sheetId="17" r:id="rId2"/>
    <sheet name="Gas Flow Calculations" sheetId="3" r:id="rId3"/>
    <sheet name="Oil Calculations" sheetId="6" r:id="rId4"/>
    <sheet name="raw" sheetId="8" r:id="rId5"/>
    <sheet name="Mechanical Calculations" sheetId="10" r:id="rId6"/>
    <sheet name="Asme Standards" sheetId="11" r:id="rId7"/>
    <sheet name="Cost Estimation" sheetId="15" r:id="rId8"/>
    <sheet name="Report" sheetId="14" r:id="rId9"/>
  </sheets>
  <externalReferences>
    <externalReference r:id="rId10"/>
    <externalReference r:id="rId11"/>
  </externalReferences>
  <definedNames>
    <definedName name="adelp" localSheetId="7">#REF!</definedName>
    <definedName name="adelp">#REF!</definedName>
    <definedName name="adelpo" localSheetId="7">#REF!</definedName>
    <definedName name="adelpo">#REF!</definedName>
    <definedName name="arcgis">QGIS!$H$24</definedName>
    <definedName name="avgvgas">'Gas Flow Calculations'!$N$27</definedName>
    <definedName name="avkv" localSheetId="7">'[1]Gas Flow Calculations'!$N$22</definedName>
    <definedName name="avkv">'Gas Flow Calculations'!$N$22</definedName>
    <definedName name="brcgis">QGIS!$H$25</definedName>
    <definedName name="cahngecell">'Gas Flow Calculations'!$R$17</definedName>
    <definedName name="ccno">'Oil Calculations'!$Z$12</definedName>
    <definedName name="ccnw" localSheetId="7">#REF!</definedName>
    <definedName name="ccnw">#REF!</definedName>
    <definedName name="chngcell">'Gas Flow Calculations'!$R$17</definedName>
    <definedName name="chngcell1">'Gas Flow Calculations'!$V$17</definedName>
    <definedName name="cng" localSheetId="7">#REF!</definedName>
    <definedName name="cng">#REF!</definedName>
    <definedName name="cngg" localSheetId="7">#REF!</definedName>
    <definedName name="cngg">#REF!</definedName>
    <definedName name="cngo" localSheetId="7">#REF!</definedName>
    <definedName name="cngo">#REF!</definedName>
    <definedName name="cngo1">#REF!</definedName>
    <definedName name="ct" localSheetId="7">'[1]Mechanical Calculations'!$H$9</definedName>
    <definedName name="ct">'Mechanical Calculations'!$H$9</definedName>
    <definedName name="cunngis">QGIS!$H$26</definedName>
    <definedName name="dano">'Oil Calculations'!$D$21</definedName>
    <definedName name="danw" localSheetId="7">#REF!</definedName>
    <definedName name="danw">#REF!</definedName>
    <definedName name="delh" localSheetId="7">#REF!</definedName>
    <definedName name="delh">#REF!</definedName>
    <definedName name="delho">#REF!</definedName>
    <definedName name="delp">'Gas Flow Calculations'!$D$15</definedName>
    <definedName name="delpe" localSheetId="7">#REF!</definedName>
    <definedName name="delpe">#REF!</definedName>
    <definedName name="delpeo" localSheetId="7">#REF!</definedName>
    <definedName name="delpeo">#REF!</definedName>
    <definedName name="delpinput" localSheetId="7">[1]UserInterface!$E$12</definedName>
    <definedName name="delpinput">UserInterface!$E$12</definedName>
    <definedName name="delpinputt">UserInterface!$E$12</definedName>
    <definedName name="delpno">'Oil Calculations'!$E$11</definedName>
    <definedName name="delpnw" localSheetId="7">#REF!</definedName>
    <definedName name="delpnw">#REF!</definedName>
    <definedName name="dgout" localSheetId="7">'[1]Gas Flow Calculations'!$I$71</definedName>
    <definedName name="dgout">'Gas Flow Calculations'!$I$71</definedName>
    <definedName name="diafa" localSheetId="7">'[1]Mechanical Calculations'!$C$17</definedName>
    <definedName name="diafa">'Mechanical Calculations'!$C$17</definedName>
    <definedName name="diamc" localSheetId="7">[1]UserInterface!$O$13</definedName>
    <definedName name="diamc">UserInterface!$O$13</definedName>
    <definedName name="diameter">'Gas Flow Calculations'!$N$22</definedName>
    <definedName name="diameter1" localSheetId="7">'[1]Gas Flow Calculations'!$I$17</definedName>
    <definedName name="diameter1">'Gas Flow Calculations'!$I$17</definedName>
    <definedName name="diameter2" localSheetId="7">'[1]Gas Flow Calculations'!$I$18</definedName>
    <definedName name="diameter2">'Gas Flow Calculations'!$I$18</definedName>
    <definedName name="diffft">'Gas Flow Calculations'!$D$64</definedName>
    <definedName name="difflo" localSheetId="7">#REF!</definedName>
    <definedName name="difflo">#REF!</definedName>
    <definedName name="diffplw" localSheetId="7">#REF!</definedName>
    <definedName name="diffplw">#REF!</definedName>
    <definedName name="diffpno">'Oil Calculations'!$P$31</definedName>
    <definedName name="diffpnw" localSheetId="7">#REF!</definedName>
    <definedName name="diffpnw">#REF!</definedName>
    <definedName name="diffpt">'Gas Flow Calculations'!$D$64</definedName>
    <definedName name="diffpto">'Gas Flow Calculations'!$D$64</definedName>
    <definedName name="diffptr">'Gas Flow Calculations'!$N$64</definedName>
    <definedName name="diffptw" localSheetId="7">#REF!</definedName>
    <definedName name="diffptw">#REF!</definedName>
    <definedName name="diffto" localSheetId="7">#REF!</definedName>
    <definedName name="diffto">#REF!</definedName>
    <definedName name="difftt">'Gas Flow Calculations'!$N$64</definedName>
    <definedName name="diffttt">'Gas Flow Calculations'!$D$64</definedName>
    <definedName name="dlamo" localSheetId="7">#REF!</definedName>
    <definedName name="dlamo">#REF!</definedName>
    <definedName name="dlamw" localSheetId="7">#REF!</definedName>
    <definedName name="dlamw">#REF!</definedName>
    <definedName name="doout" localSheetId="7">'[1]Oil Calculations'!$F$37</definedName>
    <definedName name="doout">'Oil Calculations'!$F$37</definedName>
    <definedName name="dturbo" localSheetId="7">#REF!</definedName>
    <definedName name="dturbo">#REF!</definedName>
    <definedName name="dturw" localSheetId="7">#REF!</definedName>
    <definedName name="dturw">#REF!</definedName>
    <definedName name="dwout" localSheetId="7">#REF!</definedName>
    <definedName name="dwout">#REF!</definedName>
    <definedName name="edno">'Oil Calculations'!$J$31</definedName>
    <definedName name="ednw" localSheetId="7">#REF!</definedName>
    <definedName name="ednw">#REF!</definedName>
    <definedName name="ExternalData_2" localSheetId="6" hidden="1">'Asme Standards'!$B$1:$G$775</definedName>
    <definedName name="fgin" localSheetId="7">[1]UserInterface!$E$26</definedName>
    <definedName name="fgin">UserInterface!$E$26</definedName>
    <definedName name="fhinput" localSheetId="7">[1]UserInterface!$E$14</definedName>
    <definedName name="fhinput">UserInterface!$E$14</definedName>
    <definedName name="fhqgis">QGIS!$C$24</definedName>
    <definedName name="finalp">'Gas Flow Calculations'!$D$16</definedName>
    <definedName name="fllin" localSheetId="7">[1]UserInterface!$E$20</definedName>
    <definedName name="fllin">UserInterface!$E$20</definedName>
    <definedName name="flowrate" localSheetId="7">'[1]Gas Flow Calculations'!$D$13</definedName>
    <definedName name="flowrate">'Gas Flow Calculations'!$D$13</definedName>
    <definedName name="fluidtypin">UserInterface!$E$16</definedName>
    <definedName name="flwo">'Oil Calculations'!$E$9</definedName>
    <definedName name="flwrate" localSheetId="7">#REF!</definedName>
    <definedName name="flwrate">#REF!</definedName>
    <definedName name="flwrt" localSheetId="7">#REF!</definedName>
    <definedName name="flwrt">#REF!</definedName>
    <definedName name="flwrte" localSheetId="7">#REF!</definedName>
    <definedName name="flwrte">#REF!</definedName>
    <definedName name="flww">#REF!</definedName>
    <definedName name="fmopout">raw!$N$12</definedName>
    <definedName name="frtbm">raw!$N$11</definedName>
    <definedName name="fueltype" localSheetId="7">#REF!</definedName>
    <definedName name="fueltype">#REF!</definedName>
    <definedName name="fueltypin" localSheetId="7">[1]UserInterface!$E$21</definedName>
    <definedName name="fueltypin">UserInterface!$E$21</definedName>
    <definedName name="fueltypo">'Oil Calculations'!$R$3</definedName>
    <definedName name="gcinp1" localSheetId="7">[1]UserInterface!$E$31</definedName>
    <definedName name="gcinp1">UserInterface!$E$31</definedName>
    <definedName name="gcinp10" localSheetId="7">[1]UserInterface!$E$40</definedName>
    <definedName name="gcinp10">UserInterface!$E$40</definedName>
    <definedName name="gcinp11" localSheetId="7">[1]UserInterface!$E$41</definedName>
    <definedName name="gcinp11">UserInterface!$E$41</definedName>
    <definedName name="gcinp12" localSheetId="7">[1]UserInterface!$E$42</definedName>
    <definedName name="gcinp12">UserInterface!$E$42</definedName>
    <definedName name="gcinp13">UserInterface!$E$42</definedName>
    <definedName name="gcinp2" localSheetId="7">[1]UserInterface!$E$32</definedName>
    <definedName name="gcinp2">UserInterface!$E$32</definedName>
    <definedName name="gcinp3" localSheetId="7">[1]UserInterface!$E$33</definedName>
    <definedName name="gcinp3">UserInterface!$E$33</definedName>
    <definedName name="gcinp4" localSheetId="7">[1]UserInterface!$E$34</definedName>
    <definedName name="gcinp4">UserInterface!$E$34</definedName>
    <definedName name="gcinp5" localSheetId="7">[1]UserInterface!$E$35</definedName>
    <definedName name="gcinp5">UserInterface!$E$35</definedName>
    <definedName name="gcinp6" localSheetId="7">[1]UserInterface!$E$36</definedName>
    <definedName name="gcinp6">UserInterface!$E$36</definedName>
    <definedName name="gcinp7" localSheetId="7">[1]UserInterface!$E$37</definedName>
    <definedName name="gcinp7">UserInterface!$E$37</definedName>
    <definedName name="gcinp8" localSheetId="7">[1]UserInterface!$E$38</definedName>
    <definedName name="gcinp8">UserInterface!$E$38</definedName>
    <definedName name="gcinp9" localSheetId="7">[1]UserInterface!$E$39</definedName>
    <definedName name="gcinp9">UserInterface!$E$39</definedName>
    <definedName name="gclqgis">QGIS!$E$25</definedName>
    <definedName name="gco">UserInterface!$J$10</definedName>
    <definedName name="ihqgis">QGIS!$C$23</definedName>
    <definedName name="inhinput" localSheetId="7">[1]UserInterface!$E$13</definedName>
    <definedName name="inhinput">UserInterface!$E$13</definedName>
    <definedName name="lclqgis">QGIS!$E$24</definedName>
    <definedName name="length">'Gas Flow Calculations'!$D$14</definedName>
    <definedName name="Linput" localSheetId="7">[1]UserInterface!$E$11</definedName>
    <definedName name="Linput">UserInterface!$E$11</definedName>
    <definedName name="Linputt">UserInterface!$E$11</definedName>
    <definedName name="liqgis">QGIS!$K$23</definedName>
    <definedName name="lkm" localSheetId="7">#REF!</definedName>
    <definedName name="lkm">#REF!</definedName>
    <definedName name="lkmo" localSheetId="7">#REF!</definedName>
    <definedName name="lkmo">#REF!</definedName>
    <definedName name="lno">'Oil Calculations'!$E$10</definedName>
    <definedName name="lnw" localSheetId="7">#REF!</definedName>
    <definedName name="lnw">#REF!</definedName>
    <definedName name="maxgop">'Gas Flow Calculations'!$I$79</definedName>
    <definedName name="maxlop">'Oil Calculations'!$J$71</definedName>
    <definedName name="maxopout" localSheetId="7">'[1]Oil Calculations'!$F$36</definedName>
    <definedName name="maxopout">'Oil Calculations'!$F$36</definedName>
    <definedName name="maxxp">UserInterface!$O$12</definedName>
    <definedName name="mcd" localSheetId="7">'[1]Mechanical Calculations'!$H$13</definedName>
    <definedName name="mcd">'Mechanical Calculations'!$H$13</definedName>
    <definedName name="mcdd">'Mechanical Calculations'!$H$13</definedName>
    <definedName name="mcgis">QGIS!$H$27</definedName>
    <definedName name="mct" localSheetId="7">'[1]Mechanical Calculations'!$H$12</definedName>
    <definedName name="mct">'Mechanical Calculations'!$H$12</definedName>
    <definedName name="mctt">'Mechanical Calculations'!$H$12</definedName>
    <definedName name="mcw" localSheetId="7">'[1]Mechanical Calculations'!$H$17</definedName>
    <definedName name="mcw">'Mechanical Calculations'!$H$17</definedName>
    <definedName name="mcww">'Mechanical Calculations'!$H$17</definedName>
    <definedName name="mwgas">'Gas Flow Calculations'!$N$26</definedName>
    <definedName name="nccqgis">QGIS!$J$24</definedName>
    <definedName name="ncrcgis">QGIS!$H$28</definedName>
    <definedName name="nircqgis">QGIS!$J$25</definedName>
    <definedName name="nsnct" localSheetId="7">'[1]Mechanical Calculations'!$H$16</definedName>
    <definedName name="nsnct">'Mechanical Calculations'!$H$16</definedName>
    <definedName name="ntrcqgis">QGIS!$J$26</definedName>
    <definedName name="optpmc" localSheetId="7">[1]UserInterface!$O$14</definedName>
    <definedName name="optpmc">UserInterface!$O$14</definedName>
    <definedName name="pgin" localSheetId="7">[1]UserInterface!$I$11</definedName>
    <definedName name="pgin">UserInterface!$I$11</definedName>
    <definedName name="pginn">UserInterface!$I$11</definedName>
    <definedName name="piper">'Gas Flow Calculations'!$D$18</definedName>
    <definedName name="piperno">'Oil Calculations'!$E$14</definedName>
    <definedName name="pipernw" localSheetId="7">#REF!</definedName>
    <definedName name="pipernw">#REF!</definedName>
    <definedName name="piperw" localSheetId="7">#REF!</definedName>
    <definedName name="piperw">#REF!</definedName>
    <definedName name="polqgis">QGIS!$E$26</definedName>
    <definedName name="rdia">UserInterface!$O$11</definedName>
    <definedName name="red" localSheetId="7">'[1]Gas Flow Calculations'!$N$48</definedName>
    <definedName name="red">'Gas Flow Calculations'!$N$48</definedName>
    <definedName name="redft" localSheetId="7">'[1]Gas Flow Calculations'!$R$48</definedName>
    <definedName name="redft">'Gas Flow Calculations'!$R$48</definedName>
    <definedName name="relam">#REF!</definedName>
    <definedName name="relamo">#REF!</definedName>
    <definedName name="rend1">'Gas Flow Calculations'!$N$48</definedName>
    <definedName name="reno" localSheetId="7">'[1]Oil Calculations'!$J$23</definedName>
    <definedName name="reno">'Oil Calculations'!$J$23</definedName>
    <definedName name="renw" localSheetId="7">#REF!</definedName>
    <definedName name="renw">#REF!</definedName>
    <definedName name="retur" localSheetId="7">#REF!</definedName>
    <definedName name="retur">#REF!</definedName>
    <definedName name="returbo" localSheetId="7">#REF!</definedName>
    <definedName name="returbo">#REF!</definedName>
    <definedName name="sci" localSheetId="7">'[1]Mechanical Calculations'!$I$15</definedName>
    <definedName name="sci">'Mechanical Calculations'!$I$15</definedName>
    <definedName name="sdia">UserInterface!$O$19</definedName>
    <definedName name="sdn">UserInterface!$O$20</definedName>
    <definedName name="setcell">'Gas Flow Calculations'!$R$13</definedName>
    <definedName name="setcell1">'Gas Flow Calculations'!$V$13</definedName>
    <definedName name="stc" localSheetId="7">#REF!</definedName>
    <definedName name="stc">#REF!</definedName>
    <definedName name="stcc" localSheetId="7">#REF!</definedName>
    <definedName name="stcc">#REF!</definedName>
    <definedName name="stcno">'Oil Calculations'!$Z$8</definedName>
    <definedName name="stcnw" localSheetId="7">#REF!</definedName>
    <definedName name="stcnw">#REF!</definedName>
    <definedName name="stco" localSheetId="7">#REF!</definedName>
    <definedName name="stco">#REF!</definedName>
    <definedName name="stco1" localSheetId="7">#REF!</definedName>
    <definedName name="stco1">#REF!</definedName>
    <definedName name="sthic">UserInterface!$O$18</definedName>
    <definedName name="target">'Gas Flow Calculations'!$R$15</definedName>
    <definedName name="tcost" localSheetId="7">'Cost Estimation'!$E$22</definedName>
    <definedName name="tcost">#REF!</definedName>
    <definedName name="tpcost" localSheetId="7">'Cost Estimation'!$E$16</definedName>
    <definedName name="tpcost">#REF!</definedName>
    <definedName name="tpcostt">'Cost Estimation'!$E$16</definedName>
    <definedName name="trgt">Report!$R$7</definedName>
    <definedName name="uncgis">QGIS!$H$29</definedName>
    <definedName name="unkgis">QGIS!$H$30</definedName>
    <definedName name="upd" localSheetId="7">'[1]Asme Standards'!$Q$14</definedName>
    <definedName name="upd">'Asme Standards'!$Q$14</definedName>
    <definedName name="updn" localSheetId="7">'[1]Asme Standards'!$R$14</definedName>
    <definedName name="updn">'Asme Standards'!$R$14</definedName>
    <definedName name="upsn" localSheetId="7">'[1]Asme Standards'!$P$16</definedName>
    <definedName name="upsn">'Asme Standards'!$P$16</definedName>
    <definedName name="upt" localSheetId="7">'[1]Asme Standards'!$P$14</definedName>
    <definedName name="upt">'Asme Standards'!$P$14</definedName>
    <definedName name="upw" localSheetId="7">'[1]Asme Standards'!$S$14</definedName>
    <definedName name="upw">'Asme Standards'!$S$14</definedName>
    <definedName name="Usedrange">Report!$O$3:$R$26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5" l="1"/>
  <c r="E3" i="15"/>
  <c r="R33" i="15"/>
  <c r="R32" i="15"/>
  <c r="R31" i="15"/>
  <c r="R30" i="15"/>
  <c r="R29" i="15"/>
  <c r="R28" i="15"/>
  <c r="R27" i="15"/>
  <c r="R21" i="15"/>
  <c r="R20" i="15"/>
  <c r="R19" i="15"/>
  <c r="S13" i="15"/>
  <c r="S12" i="15"/>
  <c r="S11" i="15"/>
  <c r="E14" i="7"/>
  <c r="E13" i="7"/>
  <c r="E11" i="7"/>
  <c r="F37" i="6" l="1"/>
  <c r="C90" i="15" l="1"/>
  <c r="B9" i="15" l="1"/>
  <c r="B7" i="15"/>
  <c r="B4" i="15"/>
  <c r="A106" i="15" l="1"/>
  <c r="E10" i="15"/>
  <c r="E14" i="15"/>
  <c r="A62" i="15"/>
  <c r="A67" i="15" s="1"/>
  <c r="D48" i="15"/>
  <c r="A40" i="15"/>
  <c r="D39" i="15" s="1"/>
  <c r="K28" i="15"/>
  <c r="L20" i="15"/>
  <c r="L19" i="15"/>
  <c r="L18" i="15"/>
  <c r="E48" i="15"/>
  <c r="T33" i="15" l="1"/>
  <c r="U33" i="15" s="1"/>
  <c r="T30" i="15"/>
  <c r="U30" i="15" s="1"/>
  <c r="T31" i="15"/>
  <c r="U31" i="15" s="1"/>
  <c r="T32" i="15"/>
  <c r="U32" i="15" s="1"/>
  <c r="T29" i="15"/>
  <c r="U29" i="15" s="1"/>
  <c r="U13" i="15"/>
  <c r="T20" i="15"/>
  <c r="U20" i="15" s="1"/>
  <c r="T21" i="15"/>
  <c r="U21" i="15" s="1"/>
  <c r="T27" i="15"/>
  <c r="U27" i="15" s="1"/>
  <c r="T28" i="15"/>
  <c r="U28" i="15" s="1"/>
  <c r="U11" i="15"/>
  <c r="U12" i="15"/>
  <c r="T19" i="15"/>
  <c r="U19" i="15" s="1"/>
  <c r="U14" i="15" l="1"/>
  <c r="U34" i="15"/>
  <c r="T45" i="15" s="1"/>
  <c r="U22" i="15"/>
  <c r="T44" i="15" s="1"/>
  <c r="T37" i="15" l="1"/>
  <c r="E11" i="15" s="1"/>
  <c r="T43" i="15"/>
  <c r="H15" i="8" l="1"/>
  <c r="N10" i="8"/>
  <c r="N11" i="8" s="1"/>
  <c r="H14" i="8"/>
  <c r="A26" i="15" l="1"/>
  <c r="R7" i="14"/>
  <c r="P12" i="14" l="1"/>
  <c r="B5" i="15"/>
  <c r="A37" i="15" s="1"/>
  <c r="D40" i="15" s="1"/>
  <c r="D44" i="15" s="1"/>
  <c r="E51" i="15" s="1"/>
  <c r="E52" i="15" s="1"/>
  <c r="P16" i="14"/>
  <c r="P14" i="14"/>
  <c r="P13" i="14"/>
  <c r="P11" i="14"/>
  <c r="H5" i="10" l="1"/>
  <c r="E9" i="6" l="1"/>
  <c r="H775" i="11" l="1"/>
  <c r="H774" i="11"/>
  <c r="A774" i="11"/>
  <c r="H773" i="11"/>
  <c r="A773" i="11"/>
  <c r="H772" i="11"/>
  <c r="A772" i="11"/>
  <c r="H771" i="11"/>
  <c r="A771" i="11"/>
  <c r="H770" i="11"/>
  <c r="A770" i="11"/>
  <c r="H769" i="11"/>
  <c r="A769" i="11"/>
  <c r="H768" i="11"/>
  <c r="A768" i="11"/>
  <c r="H767" i="11"/>
  <c r="A767" i="11"/>
  <c r="H766" i="11"/>
  <c r="A766" i="11"/>
  <c r="H765" i="11"/>
  <c r="A765" i="11"/>
  <c r="H764" i="11"/>
  <c r="A764" i="11"/>
  <c r="H763" i="11"/>
  <c r="A763" i="11"/>
  <c r="H762" i="11"/>
  <c r="A762" i="11"/>
  <c r="H761" i="11"/>
  <c r="A761" i="11"/>
  <c r="H760" i="11"/>
  <c r="A760" i="11"/>
  <c r="H759" i="11"/>
  <c r="A759" i="11"/>
  <c r="H758" i="11"/>
  <c r="A758" i="11"/>
  <c r="H757" i="11"/>
  <c r="A757" i="11"/>
  <c r="H756" i="11"/>
  <c r="A756" i="11"/>
  <c r="H755" i="11"/>
  <c r="A755" i="11"/>
  <c r="H754" i="11"/>
  <c r="A754" i="11"/>
  <c r="H753" i="11"/>
  <c r="A753" i="11"/>
  <c r="H752" i="11"/>
  <c r="A752" i="11"/>
  <c r="H751" i="11"/>
  <c r="A751" i="11"/>
  <c r="H750" i="11"/>
  <c r="A750" i="11"/>
  <c r="H749" i="11"/>
  <c r="A749" i="11"/>
  <c r="H748" i="11"/>
  <c r="A748" i="11"/>
  <c r="H747" i="11"/>
  <c r="A747" i="11"/>
  <c r="H746" i="11"/>
  <c r="A746" i="11"/>
  <c r="H745" i="11"/>
  <c r="A745" i="11"/>
  <c r="H744" i="11"/>
  <c r="A744" i="11"/>
  <c r="H743" i="11"/>
  <c r="A743" i="11"/>
  <c r="H742" i="11"/>
  <c r="A742" i="11"/>
  <c r="H741" i="11"/>
  <c r="A741" i="11"/>
  <c r="H740" i="11"/>
  <c r="A740" i="11"/>
  <c r="H739" i="11"/>
  <c r="A739" i="11"/>
  <c r="H738" i="11"/>
  <c r="A738" i="11"/>
  <c r="H737" i="11"/>
  <c r="A737" i="11"/>
  <c r="H736" i="11"/>
  <c r="A736" i="11"/>
  <c r="H735" i="11"/>
  <c r="A735" i="11"/>
  <c r="H734" i="11"/>
  <c r="A734" i="11"/>
  <c r="H733" i="11"/>
  <c r="A733" i="11"/>
  <c r="H732" i="11"/>
  <c r="A732" i="11"/>
  <c r="H731" i="11"/>
  <c r="A731" i="11"/>
  <c r="H730" i="11"/>
  <c r="A730" i="11"/>
  <c r="H729" i="11"/>
  <c r="A729" i="11"/>
  <c r="H728" i="11"/>
  <c r="A728" i="11"/>
  <c r="H727" i="11"/>
  <c r="A727" i="11"/>
  <c r="H726" i="11"/>
  <c r="A726" i="11"/>
  <c r="H725" i="11"/>
  <c r="A725" i="11"/>
  <c r="H724" i="11"/>
  <c r="A724" i="11"/>
  <c r="H723" i="11"/>
  <c r="A723" i="11"/>
  <c r="H722" i="11"/>
  <c r="A722" i="11"/>
  <c r="H721" i="11"/>
  <c r="A721" i="11"/>
  <c r="H720" i="11"/>
  <c r="A720" i="11"/>
  <c r="H719" i="11"/>
  <c r="A719" i="11"/>
  <c r="H718" i="11"/>
  <c r="A718" i="11"/>
  <c r="H717" i="11"/>
  <c r="A717" i="11"/>
  <c r="H716" i="11"/>
  <c r="A716" i="11"/>
  <c r="H715" i="11"/>
  <c r="A715" i="11"/>
  <c r="H714" i="11"/>
  <c r="A714" i="11"/>
  <c r="H713" i="11"/>
  <c r="A713" i="11"/>
  <c r="H712" i="11"/>
  <c r="A712" i="11"/>
  <c r="H711" i="11"/>
  <c r="A711" i="11"/>
  <c r="H710" i="11"/>
  <c r="A710" i="11"/>
  <c r="H709" i="11"/>
  <c r="A709" i="11"/>
  <c r="H708" i="11"/>
  <c r="A708" i="11"/>
  <c r="H707" i="11"/>
  <c r="A707" i="11"/>
  <c r="H706" i="11"/>
  <c r="A706" i="11"/>
  <c r="H705" i="11"/>
  <c r="A705" i="11"/>
  <c r="H704" i="11"/>
  <c r="A704" i="11"/>
  <c r="H703" i="11"/>
  <c r="A703" i="11"/>
  <c r="H702" i="11"/>
  <c r="A702" i="11"/>
  <c r="H701" i="11"/>
  <c r="A701" i="11"/>
  <c r="H700" i="11"/>
  <c r="A700" i="11"/>
  <c r="H699" i="11"/>
  <c r="A699" i="11"/>
  <c r="H698" i="11"/>
  <c r="A698" i="11"/>
  <c r="H697" i="11"/>
  <c r="A697" i="11"/>
  <c r="H696" i="11"/>
  <c r="A696" i="11"/>
  <c r="H695" i="11"/>
  <c r="A695" i="11"/>
  <c r="H694" i="11"/>
  <c r="A694" i="11"/>
  <c r="H693" i="11"/>
  <c r="A693" i="11"/>
  <c r="H692" i="11"/>
  <c r="A692" i="11"/>
  <c r="H691" i="11"/>
  <c r="A691" i="11"/>
  <c r="H690" i="11"/>
  <c r="A690" i="11"/>
  <c r="H689" i="11"/>
  <c r="A689" i="11"/>
  <c r="H688" i="11"/>
  <c r="A688" i="11"/>
  <c r="H687" i="11"/>
  <c r="A687" i="11"/>
  <c r="H686" i="11"/>
  <c r="A686" i="11"/>
  <c r="H685" i="11"/>
  <c r="A685" i="11"/>
  <c r="H684" i="11"/>
  <c r="A684" i="11"/>
  <c r="H683" i="11"/>
  <c r="A683" i="11"/>
  <c r="H682" i="11"/>
  <c r="A682" i="11"/>
  <c r="H681" i="11"/>
  <c r="A681" i="11"/>
  <c r="H680" i="11"/>
  <c r="A680" i="11"/>
  <c r="H679" i="11"/>
  <c r="A679" i="11"/>
  <c r="H678" i="11"/>
  <c r="A678" i="11"/>
  <c r="H677" i="11"/>
  <c r="A677" i="11"/>
  <c r="H676" i="11"/>
  <c r="A676" i="11"/>
  <c r="H675" i="11"/>
  <c r="A675" i="11"/>
  <c r="H674" i="11"/>
  <c r="A674" i="11"/>
  <c r="H673" i="11"/>
  <c r="A673" i="11"/>
  <c r="H672" i="11"/>
  <c r="A672" i="11"/>
  <c r="H671" i="11"/>
  <c r="A671" i="11"/>
  <c r="H670" i="11"/>
  <c r="A670" i="11"/>
  <c r="H669" i="11"/>
  <c r="A669" i="11"/>
  <c r="H668" i="11"/>
  <c r="A668" i="11"/>
  <c r="H667" i="11"/>
  <c r="A667" i="11"/>
  <c r="H666" i="11"/>
  <c r="A666" i="11"/>
  <c r="H665" i="11"/>
  <c r="A665" i="11"/>
  <c r="H664" i="11"/>
  <c r="A664" i="11"/>
  <c r="H663" i="11"/>
  <c r="A663" i="11"/>
  <c r="H662" i="11"/>
  <c r="A662" i="11"/>
  <c r="H661" i="11"/>
  <c r="A661" i="11"/>
  <c r="H660" i="11"/>
  <c r="A660" i="11"/>
  <c r="H659" i="11"/>
  <c r="A659" i="11"/>
  <c r="H658" i="11"/>
  <c r="A658" i="11"/>
  <c r="H657" i="11"/>
  <c r="A657" i="11"/>
  <c r="H656" i="11"/>
  <c r="A656" i="11"/>
  <c r="H655" i="11"/>
  <c r="A655" i="11"/>
  <c r="H654" i="11"/>
  <c r="A654" i="11"/>
  <c r="H653" i="11"/>
  <c r="A653" i="11"/>
  <c r="H652" i="11"/>
  <c r="A652" i="11"/>
  <c r="H651" i="11"/>
  <c r="A651" i="11"/>
  <c r="H650" i="11"/>
  <c r="A650" i="11"/>
  <c r="H649" i="11"/>
  <c r="A649" i="11"/>
  <c r="H648" i="11"/>
  <c r="A648" i="11"/>
  <c r="H647" i="11"/>
  <c r="A647" i="11"/>
  <c r="H646" i="11"/>
  <c r="A646" i="11"/>
  <c r="H645" i="11"/>
  <c r="A645" i="11"/>
  <c r="H644" i="11"/>
  <c r="A644" i="11"/>
  <c r="H643" i="11"/>
  <c r="A643" i="11"/>
  <c r="H642" i="11"/>
  <c r="A642" i="11"/>
  <c r="H641" i="11"/>
  <c r="A641" i="11"/>
  <c r="H640" i="11"/>
  <c r="A640" i="11"/>
  <c r="H639" i="11"/>
  <c r="A639" i="11"/>
  <c r="H638" i="11"/>
  <c r="A638" i="11"/>
  <c r="H637" i="11"/>
  <c r="A637" i="11"/>
  <c r="H636" i="11"/>
  <c r="A636" i="11"/>
  <c r="H635" i="11"/>
  <c r="A635" i="11"/>
  <c r="H634" i="11"/>
  <c r="A634" i="11"/>
  <c r="H633" i="11"/>
  <c r="A633" i="11"/>
  <c r="H632" i="11"/>
  <c r="A632" i="11"/>
  <c r="H631" i="11"/>
  <c r="A631" i="11"/>
  <c r="H630" i="11"/>
  <c r="A630" i="11"/>
  <c r="H629" i="11"/>
  <c r="A629" i="11"/>
  <c r="H628" i="11"/>
  <c r="A628" i="11"/>
  <c r="H627" i="11"/>
  <c r="A627" i="11"/>
  <c r="H626" i="11"/>
  <c r="A626" i="11"/>
  <c r="H625" i="11"/>
  <c r="A625" i="11"/>
  <c r="H624" i="11"/>
  <c r="A624" i="11"/>
  <c r="H623" i="11"/>
  <c r="A623" i="11"/>
  <c r="H622" i="11"/>
  <c r="A622" i="11"/>
  <c r="H621" i="11"/>
  <c r="A621" i="11"/>
  <c r="H620" i="11"/>
  <c r="A620" i="11"/>
  <c r="H619" i="11"/>
  <c r="A619" i="11"/>
  <c r="H618" i="11"/>
  <c r="A618" i="11"/>
  <c r="H617" i="11"/>
  <c r="A617" i="11"/>
  <c r="H616" i="11"/>
  <c r="A616" i="11"/>
  <c r="H615" i="11"/>
  <c r="A615" i="11"/>
  <c r="H614" i="11"/>
  <c r="A614" i="11"/>
  <c r="H613" i="11"/>
  <c r="A613" i="11"/>
  <c r="H612" i="11"/>
  <c r="A612" i="11"/>
  <c r="H611" i="11"/>
  <c r="A611" i="11"/>
  <c r="H610" i="11"/>
  <c r="A610" i="11"/>
  <c r="H609" i="11"/>
  <c r="A609" i="11"/>
  <c r="H608" i="11"/>
  <c r="A608" i="11"/>
  <c r="H607" i="11"/>
  <c r="A607" i="11"/>
  <c r="H606" i="11"/>
  <c r="A606" i="11"/>
  <c r="H605" i="11"/>
  <c r="A605" i="11"/>
  <c r="H604" i="11"/>
  <c r="A604" i="11"/>
  <c r="H603" i="11"/>
  <c r="A603" i="11"/>
  <c r="H602" i="11"/>
  <c r="A602" i="11"/>
  <c r="H601" i="11"/>
  <c r="A601" i="11"/>
  <c r="H600" i="11"/>
  <c r="A600" i="11"/>
  <c r="H599" i="11"/>
  <c r="A599" i="11"/>
  <c r="H598" i="11"/>
  <c r="A598" i="11"/>
  <c r="H597" i="11"/>
  <c r="A597" i="11"/>
  <c r="H596" i="11"/>
  <c r="A596" i="11"/>
  <c r="H595" i="11"/>
  <c r="A595" i="11"/>
  <c r="H594" i="11"/>
  <c r="A594" i="11"/>
  <c r="H593" i="11"/>
  <c r="A593" i="11"/>
  <c r="H592" i="11"/>
  <c r="A592" i="11"/>
  <c r="H591" i="11"/>
  <c r="A591" i="11"/>
  <c r="H590" i="11"/>
  <c r="A590" i="11"/>
  <c r="H589" i="11"/>
  <c r="A589" i="11"/>
  <c r="H588" i="11"/>
  <c r="A588" i="11"/>
  <c r="H587" i="11"/>
  <c r="A587" i="11"/>
  <c r="H586" i="11"/>
  <c r="A586" i="11"/>
  <c r="H585" i="11"/>
  <c r="A585" i="11"/>
  <c r="H584" i="11"/>
  <c r="A584" i="11"/>
  <c r="H583" i="11"/>
  <c r="A583" i="11"/>
  <c r="H582" i="11"/>
  <c r="A582" i="11"/>
  <c r="H581" i="11"/>
  <c r="A581" i="11"/>
  <c r="H580" i="11"/>
  <c r="A580" i="11"/>
  <c r="H579" i="11"/>
  <c r="A579" i="11"/>
  <c r="H578" i="11"/>
  <c r="A578" i="11"/>
  <c r="H577" i="11"/>
  <c r="A577" i="11"/>
  <c r="H576" i="11"/>
  <c r="A576" i="11"/>
  <c r="H575" i="11"/>
  <c r="A575" i="11"/>
  <c r="H574" i="11"/>
  <c r="A574" i="11"/>
  <c r="H573" i="11"/>
  <c r="A573" i="11"/>
  <c r="H572" i="11"/>
  <c r="A572" i="11"/>
  <c r="H571" i="11"/>
  <c r="A571" i="11"/>
  <c r="H570" i="11"/>
  <c r="A570" i="11"/>
  <c r="H569" i="11"/>
  <c r="A569" i="11"/>
  <c r="H568" i="11"/>
  <c r="A568" i="11"/>
  <c r="H567" i="11"/>
  <c r="A567" i="11"/>
  <c r="H566" i="11"/>
  <c r="A566" i="11"/>
  <c r="H565" i="11"/>
  <c r="A565" i="11"/>
  <c r="H564" i="11"/>
  <c r="A564" i="11"/>
  <c r="H563" i="11"/>
  <c r="A563" i="11"/>
  <c r="H562" i="11"/>
  <c r="A562" i="11"/>
  <c r="H561" i="11"/>
  <c r="A561" i="11"/>
  <c r="H560" i="11"/>
  <c r="A560" i="11"/>
  <c r="H559" i="11"/>
  <c r="A559" i="11"/>
  <c r="H558" i="11"/>
  <c r="A558" i="11"/>
  <c r="H557" i="11"/>
  <c r="A557" i="11"/>
  <c r="H556" i="11"/>
  <c r="A556" i="11"/>
  <c r="H555" i="11"/>
  <c r="A555" i="11"/>
  <c r="H554" i="11"/>
  <c r="A554" i="11"/>
  <c r="H553" i="11"/>
  <c r="A553" i="11"/>
  <c r="H552" i="11"/>
  <c r="A552" i="11"/>
  <c r="H551" i="11"/>
  <c r="A551" i="11"/>
  <c r="H550" i="11"/>
  <c r="A550" i="11"/>
  <c r="H549" i="11"/>
  <c r="A549" i="11"/>
  <c r="H548" i="11"/>
  <c r="A548" i="11"/>
  <c r="H547" i="11"/>
  <c r="A547" i="11"/>
  <c r="H546" i="11"/>
  <c r="A546" i="11"/>
  <c r="H545" i="11"/>
  <c r="A545" i="11"/>
  <c r="H544" i="11"/>
  <c r="A544" i="11"/>
  <c r="H543" i="11"/>
  <c r="A543" i="11"/>
  <c r="H542" i="11"/>
  <c r="A542" i="11"/>
  <c r="H541" i="11"/>
  <c r="A541" i="11"/>
  <c r="H540" i="11"/>
  <c r="A540" i="11"/>
  <c r="H539" i="11"/>
  <c r="A539" i="11"/>
  <c r="H538" i="11"/>
  <c r="A538" i="11"/>
  <c r="H537" i="11"/>
  <c r="A537" i="11"/>
  <c r="H536" i="11"/>
  <c r="A536" i="11"/>
  <c r="H535" i="11"/>
  <c r="A535" i="11"/>
  <c r="H534" i="11"/>
  <c r="A534" i="11"/>
  <c r="H533" i="11"/>
  <c r="A533" i="11"/>
  <c r="H532" i="11"/>
  <c r="A532" i="11"/>
  <c r="H531" i="11"/>
  <c r="A531" i="11"/>
  <c r="H530" i="11"/>
  <c r="A530" i="11"/>
  <c r="H529" i="11"/>
  <c r="A529" i="11"/>
  <c r="H528" i="11"/>
  <c r="A528" i="11"/>
  <c r="H527" i="11"/>
  <c r="A527" i="11"/>
  <c r="H526" i="11"/>
  <c r="A526" i="11"/>
  <c r="H525" i="11"/>
  <c r="A525" i="11"/>
  <c r="H524" i="11"/>
  <c r="A524" i="11"/>
  <c r="H523" i="11"/>
  <c r="A523" i="11"/>
  <c r="H522" i="11"/>
  <c r="A522" i="11"/>
  <c r="H521" i="11"/>
  <c r="A521" i="11"/>
  <c r="H520" i="11"/>
  <c r="A520" i="11"/>
  <c r="H519" i="11"/>
  <c r="A519" i="11"/>
  <c r="H518" i="11"/>
  <c r="A518" i="11"/>
  <c r="H517" i="11"/>
  <c r="A517" i="11"/>
  <c r="H516" i="11"/>
  <c r="A516" i="11"/>
  <c r="H515" i="11"/>
  <c r="A515" i="11"/>
  <c r="H514" i="11"/>
  <c r="A514" i="11"/>
  <c r="H513" i="11"/>
  <c r="A513" i="11"/>
  <c r="H512" i="11"/>
  <c r="A512" i="11"/>
  <c r="H511" i="11"/>
  <c r="A511" i="11"/>
  <c r="H510" i="11"/>
  <c r="A510" i="11"/>
  <c r="H509" i="11"/>
  <c r="A509" i="11"/>
  <c r="H508" i="11"/>
  <c r="A508" i="11"/>
  <c r="H507" i="11"/>
  <c r="A507" i="11"/>
  <c r="H506" i="11"/>
  <c r="A506" i="11"/>
  <c r="H505" i="11"/>
  <c r="A505" i="11"/>
  <c r="H504" i="11"/>
  <c r="A504" i="11"/>
  <c r="H503" i="11"/>
  <c r="A503" i="11"/>
  <c r="H502" i="11"/>
  <c r="A502" i="11"/>
  <c r="H501" i="11"/>
  <c r="A501" i="11"/>
  <c r="H500" i="11"/>
  <c r="A500" i="11"/>
  <c r="H499" i="11"/>
  <c r="A499" i="11"/>
  <c r="H498" i="11"/>
  <c r="A498" i="11"/>
  <c r="H497" i="11"/>
  <c r="A497" i="11"/>
  <c r="H496" i="11"/>
  <c r="A496" i="11"/>
  <c r="H495" i="11"/>
  <c r="A495" i="11"/>
  <c r="H494" i="11"/>
  <c r="A494" i="11"/>
  <c r="H493" i="11"/>
  <c r="A493" i="11"/>
  <c r="H492" i="11"/>
  <c r="A492" i="11"/>
  <c r="H491" i="11"/>
  <c r="A491" i="11"/>
  <c r="H490" i="11"/>
  <c r="A490" i="11"/>
  <c r="H489" i="11"/>
  <c r="A489" i="11"/>
  <c r="H488" i="11"/>
  <c r="A488" i="11"/>
  <c r="H487" i="11"/>
  <c r="A487" i="11"/>
  <c r="H486" i="11"/>
  <c r="A486" i="11"/>
  <c r="H485" i="11"/>
  <c r="A485" i="11"/>
  <c r="H484" i="11"/>
  <c r="A484" i="11"/>
  <c r="H483" i="11"/>
  <c r="A483" i="11"/>
  <c r="H482" i="11"/>
  <c r="A482" i="11"/>
  <c r="H481" i="11"/>
  <c r="A481" i="11"/>
  <c r="H480" i="11"/>
  <c r="A480" i="11"/>
  <c r="H479" i="11"/>
  <c r="A479" i="11"/>
  <c r="H478" i="11"/>
  <c r="A478" i="11"/>
  <c r="H477" i="11"/>
  <c r="A477" i="11"/>
  <c r="H476" i="11"/>
  <c r="A476" i="11"/>
  <c r="H475" i="11"/>
  <c r="A475" i="11"/>
  <c r="H474" i="11"/>
  <c r="A474" i="11"/>
  <c r="H473" i="11"/>
  <c r="A473" i="11"/>
  <c r="H472" i="11"/>
  <c r="A472" i="11"/>
  <c r="H471" i="11"/>
  <c r="A471" i="11"/>
  <c r="H470" i="11"/>
  <c r="A470" i="11"/>
  <c r="H469" i="11"/>
  <c r="A469" i="11"/>
  <c r="H468" i="11"/>
  <c r="A468" i="11"/>
  <c r="H467" i="11"/>
  <c r="A467" i="11"/>
  <c r="H466" i="11"/>
  <c r="A466" i="11"/>
  <c r="H465" i="11"/>
  <c r="A465" i="11"/>
  <c r="H464" i="11"/>
  <c r="A464" i="11"/>
  <c r="H463" i="11"/>
  <c r="A463" i="11"/>
  <c r="H462" i="11"/>
  <c r="A462" i="11"/>
  <c r="H461" i="11"/>
  <c r="A461" i="11"/>
  <c r="H460" i="11"/>
  <c r="A460" i="11"/>
  <c r="H459" i="11"/>
  <c r="A459" i="11"/>
  <c r="H458" i="11"/>
  <c r="A458" i="11"/>
  <c r="H457" i="11"/>
  <c r="A457" i="11"/>
  <c r="H456" i="11"/>
  <c r="A456" i="11"/>
  <c r="H455" i="11"/>
  <c r="A455" i="11"/>
  <c r="H454" i="11"/>
  <c r="A454" i="11"/>
  <c r="H453" i="11"/>
  <c r="A453" i="11"/>
  <c r="H452" i="11"/>
  <c r="A452" i="11"/>
  <c r="H451" i="11"/>
  <c r="A451" i="11"/>
  <c r="H450" i="11"/>
  <c r="A450" i="11"/>
  <c r="H449" i="11"/>
  <c r="A449" i="11"/>
  <c r="H448" i="11"/>
  <c r="A448" i="11"/>
  <c r="H447" i="11"/>
  <c r="A447" i="11"/>
  <c r="H446" i="11"/>
  <c r="A446" i="11"/>
  <c r="H445" i="11"/>
  <c r="A445" i="11"/>
  <c r="H444" i="11"/>
  <c r="A444" i="11"/>
  <c r="H443" i="11"/>
  <c r="A443" i="11"/>
  <c r="H442" i="11"/>
  <c r="A442" i="11"/>
  <c r="H441" i="11"/>
  <c r="A441" i="11"/>
  <c r="H440" i="11"/>
  <c r="A440" i="11"/>
  <c r="H439" i="11"/>
  <c r="A439" i="11"/>
  <c r="H438" i="11"/>
  <c r="A438" i="11"/>
  <c r="H437" i="11"/>
  <c r="A437" i="11"/>
  <c r="H436" i="11"/>
  <c r="A436" i="11"/>
  <c r="H435" i="11"/>
  <c r="A435" i="11"/>
  <c r="H434" i="11"/>
  <c r="A434" i="11"/>
  <c r="H433" i="11"/>
  <c r="A433" i="11"/>
  <c r="H432" i="11"/>
  <c r="A432" i="11"/>
  <c r="H431" i="11"/>
  <c r="A431" i="11"/>
  <c r="H430" i="11"/>
  <c r="A430" i="11"/>
  <c r="H429" i="11"/>
  <c r="A429" i="11"/>
  <c r="H428" i="11"/>
  <c r="A428" i="11"/>
  <c r="H427" i="11"/>
  <c r="A427" i="11"/>
  <c r="H426" i="11"/>
  <c r="A426" i="11"/>
  <c r="H425" i="11"/>
  <c r="A425" i="11"/>
  <c r="H424" i="11"/>
  <c r="A424" i="11"/>
  <c r="H423" i="11"/>
  <c r="A423" i="11"/>
  <c r="H422" i="11"/>
  <c r="A422" i="11"/>
  <c r="H421" i="11"/>
  <c r="A421" i="11"/>
  <c r="H420" i="11"/>
  <c r="A420" i="11"/>
  <c r="H419" i="11"/>
  <c r="A419" i="11"/>
  <c r="H418" i="11"/>
  <c r="A418" i="11"/>
  <c r="H417" i="11"/>
  <c r="A417" i="11"/>
  <c r="H416" i="11"/>
  <c r="A416" i="11"/>
  <c r="H415" i="11"/>
  <c r="A415" i="11"/>
  <c r="H414" i="11"/>
  <c r="A414" i="11"/>
  <c r="H413" i="11"/>
  <c r="A413" i="11"/>
  <c r="H412" i="11"/>
  <c r="A412" i="11"/>
  <c r="H411" i="11"/>
  <c r="A411" i="11"/>
  <c r="H410" i="11"/>
  <c r="A410" i="11"/>
  <c r="H409" i="11"/>
  <c r="A409" i="11"/>
  <c r="H408" i="11"/>
  <c r="A408" i="11"/>
  <c r="H407" i="11"/>
  <c r="A407" i="11"/>
  <c r="H406" i="11"/>
  <c r="A406" i="11"/>
  <c r="H405" i="11"/>
  <c r="A405" i="11"/>
  <c r="H404" i="11"/>
  <c r="A404" i="11"/>
  <c r="H403" i="11"/>
  <c r="A403" i="11"/>
  <c r="H402" i="11"/>
  <c r="A402" i="11"/>
  <c r="H401" i="11"/>
  <c r="A401" i="11"/>
  <c r="H400" i="11"/>
  <c r="A400" i="11"/>
  <c r="H399" i="11"/>
  <c r="A399" i="11"/>
  <c r="H398" i="11"/>
  <c r="A398" i="11"/>
  <c r="H397" i="11"/>
  <c r="A397" i="11"/>
  <c r="H396" i="11"/>
  <c r="A396" i="11"/>
  <c r="H395" i="11"/>
  <c r="A395" i="11"/>
  <c r="H394" i="11"/>
  <c r="A394" i="11"/>
  <c r="H393" i="11"/>
  <c r="A393" i="11"/>
  <c r="H392" i="11"/>
  <c r="A392" i="11"/>
  <c r="H391" i="11"/>
  <c r="A391" i="11"/>
  <c r="H390" i="11"/>
  <c r="A390" i="11"/>
  <c r="H389" i="11"/>
  <c r="A389" i="11"/>
  <c r="H388" i="11"/>
  <c r="A388" i="11"/>
  <c r="H387" i="11"/>
  <c r="A387" i="11"/>
  <c r="H386" i="11"/>
  <c r="A386" i="11"/>
  <c r="H385" i="11"/>
  <c r="A385" i="11"/>
  <c r="H384" i="11"/>
  <c r="A384" i="11"/>
  <c r="H383" i="11"/>
  <c r="A383" i="11"/>
  <c r="H382" i="11"/>
  <c r="A382" i="11"/>
  <c r="H381" i="11"/>
  <c r="A381" i="11"/>
  <c r="H380" i="11"/>
  <c r="A380" i="11"/>
  <c r="H379" i="11"/>
  <c r="A379" i="11"/>
  <c r="H378" i="11"/>
  <c r="A378" i="11"/>
  <c r="H377" i="11"/>
  <c r="A377" i="11"/>
  <c r="H376" i="11"/>
  <c r="A376" i="11"/>
  <c r="H375" i="11"/>
  <c r="A375" i="11"/>
  <c r="H374" i="11"/>
  <c r="A374" i="11"/>
  <c r="H373" i="11"/>
  <c r="A373" i="11"/>
  <c r="H372" i="11"/>
  <c r="A372" i="11"/>
  <c r="H371" i="11"/>
  <c r="A371" i="11"/>
  <c r="H370" i="11"/>
  <c r="A370" i="11"/>
  <c r="H369" i="11"/>
  <c r="A369" i="11"/>
  <c r="H368" i="11"/>
  <c r="A368" i="11"/>
  <c r="H367" i="11"/>
  <c r="A367" i="11"/>
  <c r="H366" i="11"/>
  <c r="A366" i="11"/>
  <c r="H365" i="11"/>
  <c r="A365" i="11"/>
  <c r="H364" i="11"/>
  <c r="A364" i="11"/>
  <c r="H363" i="11"/>
  <c r="A363" i="11"/>
  <c r="H362" i="11"/>
  <c r="A362" i="11"/>
  <c r="H361" i="11"/>
  <c r="A361" i="11"/>
  <c r="H360" i="11"/>
  <c r="A360" i="11"/>
  <c r="H359" i="11"/>
  <c r="A359" i="11"/>
  <c r="H358" i="11"/>
  <c r="A358" i="11"/>
  <c r="H357" i="11"/>
  <c r="A357" i="11"/>
  <c r="H356" i="11"/>
  <c r="A356" i="11"/>
  <c r="H355" i="11"/>
  <c r="A355" i="11"/>
  <c r="H354" i="11"/>
  <c r="A354" i="11"/>
  <c r="H353" i="11"/>
  <c r="A353" i="11"/>
  <c r="H352" i="11"/>
  <c r="A352" i="11"/>
  <c r="H351" i="11"/>
  <c r="A351" i="11"/>
  <c r="H350" i="11"/>
  <c r="A350" i="11"/>
  <c r="H349" i="11"/>
  <c r="A349" i="11"/>
  <c r="H348" i="11"/>
  <c r="A348" i="11"/>
  <c r="H347" i="11"/>
  <c r="A347" i="11"/>
  <c r="H346" i="11"/>
  <c r="A346" i="11"/>
  <c r="H345" i="11"/>
  <c r="A345" i="11"/>
  <c r="H344" i="11"/>
  <c r="A344" i="11"/>
  <c r="H343" i="11"/>
  <c r="A343" i="11"/>
  <c r="H342" i="11"/>
  <c r="A342" i="11"/>
  <c r="H341" i="11"/>
  <c r="A341" i="11"/>
  <c r="H340" i="11"/>
  <c r="A340" i="11"/>
  <c r="H339" i="11"/>
  <c r="A339" i="11"/>
  <c r="H338" i="11"/>
  <c r="A338" i="11"/>
  <c r="H337" i="11"/>
  <c r="A337" i="11"/>
  <c r="H336" i="11"/>
  <c r="A336" i="11"/>
  <c r="H335" i="11"/>
  <c r="A335" i="11"/>
  <c r="H334" i="11"/>
  <c r="A334" i="11"/>
  <c r="H333" i="11"/>
  <c r="A333" i="11"/>
  <c r="H332" i="11"/>
  <c r="A332" i="11"/>
  <c r="H331" i="11"/>
  <c r="A331" i="11"/>
  <c r="H330" i="11"/>
  <c r="A330" i="11"/>
  <c r="H329" i="11"/>
  <c r="A329" i="11"/>
  <c r="H328" i="11"/>
  <c r="A328" i="11"/>
  <c r="H327" i="11"/>
  <c r="A327" i="11"/>
  <c r="H326" i="11"/>
  <c r="A326" i="11"/>
  <c r="H325" i="11"/>
  <c r="A325" i="11"/>
  <c r="H324" i="11"/>
  <c r="A324" i="11"/>
  <c r="H323" i="11"/>
  <c r="A323" i="11"/>
  <c r="H322" i="11"/>
  <c r="A322" i="11"/>
  <c r="H321" i="11"/>
  <c r="A321" i="11"/>
  <c r="H320" i="11"/>
  <c r="A320" i="11"/>
  <c r="H319" i="11"/>
  <c r="A319" i="11"/>
  <c r="H318" i="11"/>
  <c r="A318" i="11"/>
  <c r="H317" i="11"/>
  <c r="A317" i="11"/>
  <c r="H316" i="11"/>
  <c r="A316" i="11"/>
  <c r="H315" i="11"/>
  <c r="A315" i="11"/>
  <c r="H314" i="11"/>
  <c r="A314" i="11"/>
  <c r="H313" i="11"/>
  <c r="A313" i="11"/>
  <c r="H312" i="11"/>
  <c r="A312" i="11"/>
  <c r="H311" i="11"/>
  <c r="A311" i="11"/>
  <c r="H310" i="11"/>
  <c r="A310" i="11"/>
  <c r="H309" i="11"/>
  <c r="A309" i="11"/>
  <c r="H308" i="11"/>
  <c r="A308" i="11"/>
  <c r="H307" i="11"/>
  <c r="A307" i="11"/>
  <c r="H306" i="11"/>
  <c r="A306" i="11"/>
  <c r="H305" i="11"/>
  <c r="A305" i="11"/>
  <c r="H304" i="11"/>
  <c r="A304" i="11"/>
  <c r="H303" i="11"/>
  <c r="A303" i="11"/>
  <c r="H302" i="11"/>
  <c r="A302" i="11"/>
  <c r="H301" i="11"/>
  <c r="A301" i="11"/>
  <c r="H300" i="11"/>
  <c r="A300" i="11"/>
  <c r="H299" i="11"/>
  <c r="A299" i="11"/>
  <c r="H298" i="11"/>
  <c r="A298" i="11"/>
  <c r="H297" i="11"/>
  <c r="A297" i="11"/>
  <c r="H296" i="11"/>
  <c r="A296" i="11"/>
  <c r="H295" i="11"/>
  <c r="A295" i="11"/>
  <c r="H294" i="11"/>
  <c r="A294" i="11"/>
  <c r="H293" i="11"/>
  <c r="A293" i="11"/>
  <c r="H292" i="11"/>
  <c r="A292" i="11"/>
  <c r="H291" i="11"/>
  <c r="A291" i="11"/>
  <c r="H290" i="11"/>
  <c r="A290" i="11"/>
  <c r="H289" i="11"/>
  <c r="A289" i="11"/>
  <c r="H288" i="11"/>
  <c r="A288" i="11"/>
  <c r="H287" i="11"/>
  <c r="A287" i="11"/>
  <c r="H286" i="11"/>
  <c r="A286" i="11"/>
  <c r="H285" i="11"/>
  <c r="A285" i="11"/>
  <c r="H284" i="11"/>
  <c r="A284" i="11"/>
  <c r="H283" i="11"/>
  <c r="A283" i="11"/>
  <c r="H282" i="11"/>
  <c r="A282" i="11"/>
  <c r="H281" i="11"/>
  <c r="A281" i="11"/>
  <c r="H280" i="11"/>
  <c r="A280" i="11"/>
  <c r="H279" i="11"/>
  <c r="A279" i="11"/>
  <c r="H278" i="11"/>
  <c r="A278" i="11"/>
  <c r="H277" i="11"/>
  <c r="A277" i="11"/>
  <c r="H276" i="11"/>
  <c r="A276" i="11"/>
  <c r="H275" i="11"/>
  <c r="A275" i="11"/>
  <c r="H274" i="11"/>
  <c r="A274" i="11"/>
  <c r="H273" i="11"/>
  <c r="A273" i="11"/>
  <c r="H272" i="11"/>
  <c r="A272" i="11"/>
  <c r="H271" i="11"/>
  <c r="A271" i="11"/>
  <c r="H270" i="11"/>
  <c r="A270" i="11"/>
  <c r="H269" i="11"/>
  <c r="A269" i="11"/>
  <c r="H268" i="11"/>
  <c r="A268" i="11"/>
  <c r="H267" i="11"/>
  <c r="A267" i="11"/>
  <c r="H266" i="11"/>
  <c r="A266" i="11"/>
  <c r="H265" i="11"/>
  <c r="A265" i="11"/>
  <c r="H264" i="11"/>
  <c r="A264" i="11"/>
  <c r="H263" i="11"/>
  <c r="A263" i="11"/>
  <c r="H262" i="11"/>
  <c r="A262" i="11"/>
  <c r="H261" i="11"/>
  <c r="A261" i="11"/>
  <c r="H260" i="11"/>
  <c r="A260" i="11"/>
  <c r="H259" i="11"/>
  <c r="A259" i="11"/>
  <c r="H258" i="11"/>
  <c r="A258" i="11"/>
  <c r="H257" i="11"/>
  <c r="A257" i="11"/>
  <c r="H256" i="11"/>
  <c r="A256" i="11"/>
  <c r="H255" i="11"/>
  <c r="A255" i="11"/>
  <c r="H254" i="11"/>
  <c r="A254" i="11"/>
  <c r="H253" i="11"/>
  <c r="A253" i="11"/>
  <c r="H252" i="11"/>
  <c r="A252" i="11"/>
  <c r="H251" i="11"/>
  <c r="A251" i="11"/>
  <c r="H250" i="11"/>
  <c r="A250" i="11"/>
  <c r="H249" i="11"/>
  <c r="A249" i="11"/>
  <c r="H248" i="11"/>
  <c r="A248" i="11"/>
  <c r="H247" i="11"/>
  <c r="A247" i="11"/>
  <c r="H246" i="11"/>
  <c r="A246" i="11"/>
  <c r="H245" i="11"/>
  <c r="A245" i="11"/>
  <c r="H244" i="11"/>
  <c r="A244" i="11"/>
  <c r="H243" i="11"/>
  <c r="A243" i="11"/>
  <c r="H242" i="11"/>
  <c r="A242" i="11"/>
  <c r="H241" i="11"/>
  <c r="A241" i="11"/>
  <c r="H240" i="11"/>
  <c r="A240" i="11"/>
  <c r="H239" i="11"/>
  <c r="A239" i="11"/>
  <c r="H238" i="11"/>
  <c r="A238" i="11"/>
  <c r="H237" i="11"/>
  <c r="A237" i="11"/>
  <c r="H236" i="11"/>
  <c r="A236" i="11"/>
  <c r="H235" i="11"/>
  <c r="A235" i="11"/>
  <c r="H234" i="11"/>
  <c r="A234" i="11"/>
  <c r="H233" i="11"/>
  <c r="A233" i="11"/>
  <c r="H232" i="11"/>
  <c r="A232" i="11"/>
  <c r="H231" i="11"/>
  <c r="A231" i="11"/>
  <c r="H230" i="11"/>
  <c r="A230" i="11"/>
  <c r="H229" i="11"/>
  <c r="A229" i="11"/>
  <c r="H228" i="11"/>
  <c r="A228" i="11"/>
  <c r="H227" i="11"/>
  <c r="A227" i="11"/>
  <c r="H226" i="11"/>
  <c r="A226" i="11"/>
  <c r="H225" i="11"/>
  <c r="A225" i="11"/>
  <c r="H224" i="11"/>
  <c r="A224" i="11"/>
  <c r="H223" i="11"/>
  <c r="A223" i="11"/>
  <c r="H222" i="11"/>
  <c r="A222" i="11"/>
  <c r="H221" i="11"/>
  <c r="A221" i="11"/>
  <c r="H220" i="11"/>
  <c r="A220" i="11"/>
  <c r="H219" i="11"/>
  <c r="A219" i="11"/>
  <c r="H218" i="11"/>
  <c r="A218" i="11"/>
  <c r="H217" i="11"/>
  <c r="A217" i="11"/>
  <c r="H216" i="11"/>
  <c r="A216" i="11"/>
  <c r="H215" i="11"/>
  <c r="A215" i="11"/>
  <c r="H214" i="11"/>
  <c r="A214" i="11"/>
  <c r="H213" i="11"/>
  <c r="A213" i="11"/>
  <c r="H212" i="11"/>
  <c r="A212" i="11"/>
  <c r="H211" i="11"/>
  <c r="A211" i="11"/>
  <c r="H210" i="11"/>
  <c r="A210" i="11"/>
  <c r="H209" i="11"/>
  <c r="A209" i="11"/>
  <c r="H208" i="11"/>
  <c r="A208" i="11"/>
  <c r="H207" i="11"/>
  <c r="A207" i="11"/>
  <c r="H206" i="11"/>
  <c r="A206" i="11"/>
  <c r="H205" i="11"/>
  <c r="A205" i="11"/>
  <c r="H204" i="11"/>
  <c r="A204" i="11"/>
  <c r="H203" i="11"/>
  <c r="A203" i="11"/>
  <c r="H202" i="11"/>
  <c r="A202" i="11"/>
  <c r="H201" i="11"/>
  <c r="A201" i="11"/>
  <c r="H200" i="11"/>
  <c r="A200" i="11"/>
  <c r="H199" i="11"/>
  <c r="A199" i="11"/>
  <c r="H198" i="11"/>
  <c r="A198" i="11"/>
  <c r="H197" i="11"/>
  <c r="A197" i="11"/>
  <c r="H196" i="11"/>
  <c r="A196" i="11"/>
  <c r="H195" i="11"/>
  <c r="A195" i="11"/>
  <c r="H194" i="11"/>
  <c r="A194" i="11"/>
  <c r="H193" i="11"/>
  <c r="A193" i="11"/>
  <c r="H192" i="11"/>
  <c r="A192" i="11"/>
  <c r="H191" i="11"/>
  <c r="A191" i="11"/>
  <c r="H190" i="11"/>
  <c r="A190" i="11"/>
  <c r="H189" i="11"/>
  <c r="A189" i="11"/>
  <c r="H188" i="11"/>
  <c r="A188" i="11"/>
  <c r="H187" i="11"/>
  <c r="A187" i="11"/>
  <c r="H186" i="11"/>
  <c r="A186" i="11"/>
  <c r="H185" i="11"/>
  <c r="A185" i="11"/>
  <c r="H184" i="11"/>
  <c r="A184" i="11"/>
  <c r="H183" i="11"/>
  <c r="A183" i="11"/>
  <c r="H182" i="11"/>
  <c r="A182" i="11"/>
  <c r="H181" i="11"/>
  <c r="A181" i="11"/>
  <c r="H180" i="11"/>
  <c r="A180" i="11"/>
  <c r="H179" i="11"/>
  <c r="A179" i="11"/>
  <c r="H178" i="11"/>
  <c r="A178" i="11"/>
  <c r="H177" i="11"/>
  <c r="A177" i="11"/>
  <c r="H176" i="11"/>
  <c r="A176" i="11"/>
  <c r="H175" i="11"/>
  <c r="A175" i="11"/>
  <c r="H174" i="11"/>
  <c r="A174" i="11"/>
  <c r="H173" i="11"/>
  <c r="A173" i="11"/>
  <c r="H172" i="11"/>
  <c r="A172" i="11"/>
  <c r="H171" i="11"/>
  <c r="A171" i="11"/>
  <c r="H170" i="11"/>
  <c r="A170" i="11"/>
  <c r="H169" i="11"/>
  <c r="A169" i="11"/>
  <c r="H168" i="11"/>
  <c r="A168" i="11"/>
  <c r="H167" i="11"/>
  <c r="A167" i="11"/>
  <c r="H166" i="11"/>
  <c r="A166" i="11"/>
  <c r="H165" i="11"/>
  <c r="A165" i="11"/>
  <c r="H164" i="11"/>
  <c r="A164" i="11"/>
  <c r="H163" i="11"/>
  <c r="A163" i="11"/>
  <c r="H162" i="11"/>
  <c r="A162" i="11"/>
  <c r="H161" i="11"/>
  <c r="A161" i="11"/>
  <c r="H160" i="11"/>
  <c r="A160" i="11"/>
  <c r="H159" i="11"/>
  <c r="A159" i="11"/>
  <c r="H158" i="11"/>
  <c r="A158" i="11"/>
  <c r="H157" i="11"/>
  <c r="A157" i="11"/>
  <c r="H156" i="11"/>
  <c r="A156" i="11"/>
  <c r="H155" i="11"/>
  <c r="A155" i="11"/>
  <c r="H154" i="11"/>
  <c r="A154" i="11"/>
  <c r="H153" i="11"/>
  <c r="A153" i="11"/>
  <c r="H152" i="11"/>
  <c r="A152" i="11"/>
  <c r="H151" i="11"/>
  <c r="A151" i="11"/>
  <c r="H150" i="11"/>
  <c r="A150" i="11"/>
  <c r="H149" i="11"/>
  <c r="A149" i="11"/>
  <c r="H148" i="11"/>
  <c r="A148" i="11"/>
  <c r="H147" i="11"/>
  <c r="A147" i="11"/>
  <c r="H146" i="11"/>
  <c r="A146" i="11"/>
  <c r="H145" i="11"/>
  <c r="A145" i="11"/>
  <c r="H144" i="11"/>
  <c r="A144" i="11"/>
  <c r="H143" i="11"/>
  <c r="A143" i="11"/>
  <c r="H142" i="11"/>
  <c r="A142" i="11"/>
  <c r="H141" i="11"/>
  <c r="A141" i="11"/>
  <c r="H140" i="11"/>
  <c r="A140" i="11"/>
  <c r="H139" i="11"/>
  <c r="A139" i="11"/>
  <c r="H138" i="11"/>
  <c r="A138" i="11"/>
  <c r="H137" i="11"/>
  <c r="A137" i="11"/>
  <c r="H136" i="11"/>
  <c r="A136" i="11"/>
  <c r="H135" i="11"/>
  <c r="A135" i="11"/>
  <c r="H134" i="11"/>
  <c r="A134" i="11"/>
  <c r="H133" i="11"/>
  <c r="A133" i="11"/>
  <c r="H132" i="11"/>
  <c r="A132" i="11"/>
  <c r="H131" i="11"/>
  <c r="A131" i="11"/>
  <c r="H130" i="11"/>
  <c r="A130" i="11"/>
  <c r="H129" i="11"/>
  <c r="A129" i="11"/>
  <c r="H128" i="11"/>
  <c r="A128" i="11"/>
  <c r="H127" i="11"/>
  <c r="A127" i="11"/>
  <c r="H126" i="11"/>
  <c r="A126" i="11"/>
  <c r="H125" i="11"/>
  <c r="A125" i="11"/>
  <c r="H124" i="11"/>
  <c r="A124" i="11"/>
  <c r="H123" i="11"/>
  <c r="A123" i="11"/>
  <c r="H122" i="11"/>
  <c r="A122" i="11"/>
  <c r="H121" i="11"/>
  <c r="A121" i="11"/>
  <c r="H120" i="11"/>
  <c r="A120" i="11"/>
  <c r="H119" i="11"/>
  <c r="A119" i="11"/>
  <c r="H118" i="11"/>
  <c r="A118" i="11"/>
  <c r="H117" i="11"/>
  <c r="A117" i="11"/>
  <c r="H116" i="11"/>
  <c r="A116" i="11"/>
  <c r="H115" i="11"/>
  <c r="A115" i="11"/>
  <c r="H114" i="11"/>
  <c r="A114" i="11"/>
  <c r="H113" i="11"/>
  <c r="A113" i="11"/>
  <c r="H112" i="11"/>
  <c r="A112" i="11"/>
  <c r="H111" i="11"/>
  <c r="A111" i="11"/>
  <c r="H110" i="11"/>
  <c r="A110" i="11"/>
  <c r="H109" i="11"/>
  <c r="A109" i="11"/>
  <c r="H108" i="11"/>
  <c r="A108" i="11"/>
  <c r="H107" i="11"/>
  <c r="A107" i="11"/>
  <c r="H106" i="11"/>
  <c r="A106" i="11"/>
  <c r="H105" i="11"/>
  <c r="A105" i="11"/>
  <c r="H104" i="11"/>
  <c r="A104" i="11"/>
  <c r="H103" i="11"/>
  <c r="A103" i="11"/>
  <c r="H102" i="11"/>
  <c r="A102" i="11"/>
  <c r="H101" i="11"/>
  <c r="A101" i="11"/>
  <c r="H100" i="11"/>
  <c r="A100" i="11"/>
  <c r="H99" i="11"/>
  <c r="A99" i="11"/>
  <c r="H98" i="11"/>
  <c r="A98" i="11"/>
  <c r="H97" i="11"/>
  <c r="A97" i="11"/>
  <c r="H96" i="11"/>
  <c r="A96" i="11"/>
  <c r="H95" i="11"/>
  <c r="A95" i="11"/>
  <c r="H94" i="11"/>
  <c r="A94" i="11"/>
  <c r="H93" i="11"/>
  <c r="A93" i="11"/>
  <c r="H92" i="11"/>
  <c r="A92" i="11"/>
  <c r="H91" i="11"/>
  <c r="A91" i="11"/>
  <c r="H90" i="11"/>
  <c r="A90" i="11"/>
  <c r="H89" i="11"/>
  <c r="A89" i="11"/>
  <c r="H88" i="11"/>
  <c r="A88" i="11"/>
  <c r="H87" i="11"/>
  <c r="A87" i="11"/>
  <c r="H86" i="11"/>
  <c r="A86" i="11"/>
  <c r="H85" i="11"/>
  <c r="A85" i="11"/>
  <c r="H84" i="11"/>
  <c r="A84" i="11"/>
  <c r="H83" i="11"/>
  <c r="A83" i="11"/>
  <c r="H82" i="11"/>
  <c r="A82" i="11"/>
  <c r="H81" i="11"/>
  <c r="A81" i="11"/>
  <c r="H80" i="11"/>
  <c r="A80" i="11"/>
  <c r="H79" i="11"/>
  <c r="A79" i="11"/>
  <c r="H78" i="11"/>
  <c r="A78" i="11"/>
  <c r="H77" i="11"/>
  <c r="A77" i="11"/>
  <c r="H76" i="11"/>
  <c r="A76" i="11"/>
  <c r="H75" i="11"/>
  <c r="A75" i="11"/>
  <c r="H74" i="11"/>
  <c r="A74" i="11"/>
  <c r="H73" i="11"/>
  <c r="A73" i="11"/>
  <c r="H72" i="11"/>
  <c r="A72" i="11"/>
  <c r="H71" i="11"/>
  <c r="A71" i="11"/>
  <c r="H70" i="11"/>
  <c r="A70" i="11"/>
  <c r="H69" i="11"/>
  <c r="A69" i="11"/>
  <c r="H68" i="11"/>
  <c r="A68" i="11"/>
  <c r="H67" i="11"/>
  <c r="A67" i="11"/>
  <c r="H66" i="11"/>
  <c r="A66" i="11"/>
  <c r="H65" i="11"/>
  <c r="A65" i="11"/>
  <c r="H64" i="11"/>
  <c r="A64" i="11"/>
  <c r="H63" i="11"/>
  <c r="A63" i="11"/>
  <c r="H62" i="11"/>
  <c r="A62" i="11"/>
  <c r="H61" i="11"/>
  <c r="A61" i="11"/>
  <c r="H60" i="11"/>
  <c r="A60" i="11"/>
  <c r="H59" i="11"/>
  <c r="A59" i="11"/>
  <c r="H58" i="11"/>
  <c r="A58" i="11"/>
  <c r="H57" i="11"/>
  <c r="A57" i="11"/>
  <c r="H56" i="11"/>
  <c r="A56" i="11"/>
  <c r="H55" i="11"/>
  <c r="A55" i="11"/>
  <c r="H54" i="11"/>
  <c r="A54" i="11"/>
  <c r="H53" i="11"/>
  <c r="A53" i="11"/>
  <c r="H52" i="11"/>
  <c r="A52" i="11"/>
  <c r="H51" i="11"/>
  <c r="A51" i="11"/>
  <c r="H50" i="11"/>
  <c r="A50" i="11"/>
  <c r="H49" i="11"/>
  <c r="A49" i="11"/>
  <c r="H48" i="11"/>
  <c r="A48" i="11"/>
  <c r="H47" i="11"/>
  <c r="A47" i="11"/>
  <c r="H46" i="11"/>
  <c r="A46" i="11"/>
  <c r="H45" i="11"/>
  <c r="A45" i="11"/>
  <c r="H44" i="11"/>
  <c r="A44" i="11"/>
  <c r="H43" i="11"/>
  <c r="A43" i="11"/>
  <c r="H42" i="11"/>
  <c r="A42" i="11"/>
  <c r="H41" i="11"/>
  <c r="A41" i="11"/>
  <c r="H40" i="11"/>
  <c r="A40" i="11"/>
  <c r="H39" i="11"/>
  <c r="A39" i="11"/>
  <c r="H38" i="11"/>
  <c r="A38" i="11"/>
  <c r="H37" i="11"/>
  <c r="A37" i="11"/>
  <c r="H36" i="11"/>
  <c r="A36" i="11"/>
  <c r="H35" i="11"/>
  <c r="A35" i="11"/>
  <c r="H34" i="11"/>
  <c r="A34" i="11"/>
  <c r="H33" i="11"/>
  <c r="A33" i="11"/>
  <c r="H32" i="11"/>
  <c r="A32" i="11"/>
  <c r="H31" i="11"/>
  <c r="A31" i="11"/>
  <c r="H30" i="11"/>
  <c r="A30" i="11"/>
  <c r="H29" i="11"/>
  <c r="A29" i="11"/>
  <c r="H28" i="11"/>
  <c r="A28" i="11"/>
  <c r="H27" i="11"/>
  <c r="A27" i="11"/>
  <c r="H26" i="11"/>
  <c r="A26" i="11"/>
  <c r="H25" i="11"/>
  <c r="A25" i="11"/>
  <c r="H24" i="11"/>
  <c r="A24" i="11"/>
  <c r="H23" i="11"/>
  <c r="A23" i="11"/>
  <c r="H22" i="11"/>
  <c r="A22" i="11"/>
  <c r="H21" i="11"/>
  <c r="A21" i="11"/>
  <c r="H20" i="11"/>
  <c r="A20" i="11"/>
  <c r="H19" i="11"/>
  <c r="A19" i="11"/>
  <c r="H18" i="11"/>
  <c r="A18" i="11"/>
  <c r="H17" i="11"/>
  <c r="A17" i="11"/>
  <c r="H16" i="11"/>
  <c r="A16" i="11"/>
  <c r="H15" i="11"/>
  <c r="A15" i="11"/>
  <c r="H14" i="11"/>
  <c r="A14" i="11"/>
  <c r="H13" i="11"/>
  <c r="A13" i="11"/>
  <c r="H12" i="11"/>
  <c r="A12" i="11"/>
  <c r="H11" i="11"/>
  <c r="A11" i="11"/>
  <c r="H10" i="11"/>
  <c r="A10" i="11"/>
  <c r="H9" i="11"/>
  <c r="A9" i="11"/>
  <c r="H8" i="11"/>
  <c r="A8" i="11"/>
  <c r="H7" i="11"/>
  <c r="A7" i="11"/>
  <c r="H6" i="11"/>
  <c r="A6" i="11"/>
  <c r="H5" i="11"/>
  <c r="A5" i="11"/>
  <c r="H4" i="11"/>
  <c r="A4" i="11"/>
  <c r="H3" i="11"/>
  <c r="A3" i="11"/>
  <c r="I5" i="10"/>
  <c r="C14" i="10" s="1"/>
  <c r="C13" i="10" l="1"/>
  <c r="I15" i="10" l="1"/>
  <c r="P21" i="7" s="1"/>
  <c r="C28" i="3" l="1"/>
  <c r="D14" i="3" l="1"/>
  <c r="R3" i="6"/>
  <c r="D15" i="3"/>
  <c r="D13" i="3"/>
  <c r="E10" i="6" l="1"/>
  <c r="N42" i="3" l="1"/>
  <c r="N41" i="3"/>
  <c r="N40" i="3"/>
  <c r="N39" i="3"/>
  <c r="N38" i="3"/>
  <c r="N37" i="3"/>
  <c r="N36" i="3"/>
  <c r="N35" i="3"/>
  <c r="N34" i="3"/>
  <c r="N33" i="3"/>
  <c r="N32" i="3"/>
  <c r="N31" i="3"/>
  <c r="Q10" i="6" l="1"/>
  <c r="Q9" i="6"/>
  <c r="AC27" i="6"/>
  <c r="J30" i="6"/>
  <c r="J29" i="6"/>
  <c r="E11" i="6"/>
  <c r="P30" i="6" l="1"/>
  <c r="J31" i="6"/>
  <c r="E14" i="6"/>
  <c r="H7" i="8" l="1"/>
  <c r="Q13" i="6"/>
  <c r="AC26" i="6"/>
  <c r="AC25" i="6"/>
  <c r="AC24" i="6"/>
  <c r="AC23" i="6"/>
  <c r="AC22" i="6"/>
  <c r="D22" i="6"/>
  <c r="J21" i="6" s="1"/>
  <c r="J22" i="6" s="1"/>
  <c r="J23" i="6" s="1"/>
  <c r="E12" i="6"/>
  <c r="F36" i="6" s="1"/>
  <c r="O12" i="7" s="1"/>
  <c r="Q12" i="6" l="1"/>
  <c r="D23" i="6"/>
  <c r="P23" i="6" s="1"/>
  <c r="P22" i="6" s="1"/>
  <c r="Q11" i="6"/>
  <c r="Q14" i="6" s="1"/>
  <c r="P21" i="6" l="1"/>
  <c r="D30" i="6" s="1"/>
  <c r="J33" i="6" s="1"/>
  <c r="I70" i="3"/>
  <c r="J34" i="6" l="1"/>
  <c r="P29" i="6" s="1"/>
  <c r="P31" i="6" s="1"/>
  <c r="R46" i="3"/>
  <c r="R47" i="3" s="1"/>
  <c r="N46" i="3"/>
  <c r="N47" i="3" s="1"/>
  <c r="N22" i="3"/>
  <c r="I69" i="3"/>
  <c r="R48" i="3" l="1"/>
  <c r="N48" i="3"/>
  <c r="I71" i="3" l="1"/>
  <c r="H8" i="8" s="1"/>
  <c r="O11" i="7" s="1"/>
  <c r="O13" i="7" l="1"/>
  <c r="C17" i="10" s="1"/>
  <c r="P20" i="14"/>
  <c r="O42" i="3"/>
  <c r="O41" i="3"/>
  <c r="O40" i="3"/>
  <c r="O39" i="3"/>
  <c r="O38" i="3"/>
  <c r="O37" i="3"/>
  <c r="O36" i="3"/>
  <c r="O35" i="3"/>
  <c r="O34" i="3"/>
  <c r="O33" i="3"/>
  <c r="O32" i="3"/>
  <c r="O31" i="3"/>
  <c r="N25" i="3"/>
  <c r="N15" i="3"/>
  <c r="N14" i="3"/>
  <c r="Q2" i="11" l="1"/>
  <c r="Q3" i="11"/>
  <c r="N26" i="3"/>
  <c r="N19" i="3" s="1"/>
  <c r="N20" i="3"/>
  <c r="J366" i="11" l="1"/>
  <c r="K263" i="11"/>
  <c r="K206" i="11"/>
  <c r="J244" i="11"/>
  <c r="K184" i="11"/>
  <c r="K20" i="11"/>
  <c r="K110" i="11"/>
  <c r="J28" i="11"/>
  <c r="K364" i="11"/>
  <c r="K105" i="11"/>
  <c r="K210" i="11"/>
  <c r="K137" i="11"/>
  <c r="J87" i="11"/>
  <c r="K259" i="11"/>
  <c r="J61" i="11"/>
  <c r="K237" i="11"/>
  <c r="J253" i="11"/>
  <c r="K22" i="11"/>
  <c r="K135" i="11"/>
  <c r="J242" i="11"/>
  <c r="J33" i="11"/>
  <c r="K103" i="11"/>
  <c r="K265" i="11"/>
  <c r="K212" i="11"/>
  <c r="K26" i="11"/>
  <c r="K131" i="11"/>
  <c r="J238" i="11"/>
  <c r="J65" i="11"/>
  <c r="K48" i="11"/>
  <c r="K4" i="11"/>
  <c r="J216" i="11"/>
  <c r="J125" i="11"/>
  <c r="J756" i="11"/>
  <c r="J380" i="11"/>
  <c r="J111" i="11"/>
  <c r="K386" i="11"/>
  <c r="J217" i="11"/>
  <c r="J399" i="11"/>
  <c r="J495" i="11"/>
  <c r="K403" i="11"/>
  <c r="J564" i="11"/>
  <c r="K598" i="11"/>
  <c r="J599" i="11"/>
  <c r="K86" i="11"/>
  <c r="J66" i="11"/>
  <c r="K41" i="11"/>
  <c r="K199" i="11"/>
  <c r="J178" i="11"/>
  <c r="K146" i="11"/>
  <c r="K276" i="11"/>
  <c r="K84" i="11"/>
  <c r="J64" i="11"/>
  <c r="K39" i="11"/>
  <c r="K201" i="11"/>
  <c r="J180" i="11"/>
  <c r="K148" i="11"/>
  <c r="K277" i="11"/>
  <c r="K90" i="11"/>
  <c r="J70" i="11"/>
  <c r="K45" i="11"/>
  <c r="K195" i="11"/>
  <c r="J174" i="11"/>
  <c r="K142" i="11"/>
  <c r="K272" i="11"/>
  <c r="J16" i="11"/>
  <c r="J112" i="11"/>
  <c r="J92" i="11"/>
  <c r="K67" i="11"/>
  <c r="K173" i="11"/>
  <c r="J152" i="11"/>
  <c r="K120" i="11"/>
  <c r="K248" i="11"/>
  <c r="J189" i="11"/>
  <c r="J316" i="11"/>
  <c r="K284" i="11"/>
  <c r="K305" i="11"/>
  <c r="J239" i="11"/>
  <c r="J315" i="11"/>
  <c r="K312" i="11"/>
  <c r="J290" i="11"/>
  <c r="J309" i="11"/>
  <c r="K477" i="11"/>
  <c r="J508" i="11"/>
  <c r="K295" i="11"/>
  <c r="K757" i="11"/>
  <c r="J667" i="11"/>
  <c r="K658" i="11"/>
  <c r="J674" i="11"/>
  <c r="K656" i="11"/>
  <c r="K711" i="11"/>
  <c r="J685" i="11"/>
  <c r="J530" i="11"/>
  <c r="J560" i="11"/>
  <c r="J566" i="11"/>
  <c r="K572" i="11"/>
  <c r="J453" i="11"/>
  <c r="J494" i="11"/>
  <c r="K586" i="11"/>
  <c r="J503" i="11"/>
  <c r="J500" i="11"/>
  <c r="K359" i="11"/>
  <c r="J393" i="11"/>
  <c r="J329" i="11"/>
  <c r="K434" i="11"/>
  <c r="K545" i="11"/>
  <c r="K550" i="11"/>
  <c r="K469" i="11"/>
  <c r="J467" i="11"/>
  <c r="K468" i="11"/>
  <c r="J466" i="11"/>
  <c r="K397" i="11"/>
  <c r="K333" i="11"/>
  <c r="J431" i="11"/>
  <c r="J367" i="11"/>
  <c r="J303" i="11"/>
  <c r="K613" i="11"/>
  <c r="K519" i="11"/>
  <c r="J519" i="11"/>
  <c r="K518" i="11"/>
  <c r="J516" i="11"/>
  <c r="K435" i="11"/>
  <c r="K371" i="11"/>
  <c r="K307" i="11"/>
  <c r="J405" i="11"/>
  <c r="J341" i="11"/>
  <c r="K529" i="11"/>
  <c r="K462" i="11"/>
  <c r="J427" i="11"/>
  <c r="K422" i="11"/>
  <c r="K354" i="11"/>
  <c r="K290" i="11"/>
  <c r="J386" i="11"/>
  <c r="J322" i="11"/>
  <c r="J259" i="11"/>
  <c r="J195" i="11"/>
  <c r="J131" i="11"/>
  <c r="K576" i="11"/>
  <c r="J492" i="11"/>
  <c r="J387" i="11"/>
  <c r="K408" i="11"/>
  <c r="K344" i="11"/>
  <c r="K280" i="11"/>
  <c r="J376" i="11"/>
  <c r="J312" i="11"/>
  <c r="J249" i="11"/>
  <c r="J185" i="11"/>
  <c r="K593" i="11"/>
  <c r="K484" i="11"/>
  <c r="K281" i="11"/>
  <c r="K428" i="11"/>
  <c r="K358" i="11"/>
  <c r="K294" i="11"/>
  <c r="J390" i="11"/>
  <c r="J350" i="11"/>
  <c r="J318" i="11"/>
  <c r="J286" i="11"/>
  <c r="J255" i="11"/>
  <c r="J223" i="11"/>
  <c r="J191" i="11"/>
  <c r="J159" i="11"/>
  <c r="J127" i="11"/>
  <c r="K609" i="11"/>
  <c r="J515" i="11"/>
  <c r="J514" i="11"/>
  <c r="K369" i="11"/>
  <c r="J403" i="11"/>
  <c r="J287" i="11"/>
  <c r="K414" i="11"/>
  <c r="K380" i="11"/>
  <c r="K348" i="11"/>
  <c r="J676" i="11"/>
  <c r="K619" i="11"/>
  <c r="J664" i="11"/>
  <c r="J569" i="11"/>
  <c r="J605" i="11"/>
  <c r="K474" i="11"/>
  <c r="K503" i="11"/>
  <c r="K423" i="11"/>
  <c r="J361" i="11"/>
  <c r="J588" i="11"/>
  <c r="K511" i="11"/>
  <c r="K510" i="11"/>
  <c r="K429" i="11"/>
  <c r="K301" i="11"/>
  <c r="J335" i="11"/>
  <c r="K558" i="11"/>
  <c r="J475" i="11"/>
  <c r="J474" i="11"/>
  <c r="K339" i="11"/>
  <c r="J373" i="11"/>
  <c r="K463" i="11"/>
  <c r="J299" i="11"/>
  <c r="K322" i="11"/>
  <c r="J354" i="11"/>
  <c r="J227" i="11"/>
  <c r="K274" i="11"/>
  <c r="K353" i="11"/>
  <c r="K376" i="11"/>
  <c r="J408" i="11"/>
  <c r="J280" i="11"/>
  <c r="J153" i="11"/>
  <c r="K409" i="11"/>
  <c r="K390" i="11"/>
  <c r="J422" i="11"/>
  <c r="J334" i="11"/>
  <c r="J270" i="11"/>
  <c r="J207" i="11"/>
  <c r="J143" i="11"/>
  <c r="K517" i="11"/>
  <c r="K433" i="11"/>
  <c r="J339" i="11"/>
  <c r="K396" i="11"/>
  <c r="K332" i="11"/>
  <c r="K300" i="11"/>
  <c r="J428" i="11"/>
  <c r="J396" i="11"/>
  <c r="J364" i="11"/>
  <c r="J332" i="11"/>
  <c r="J300" i="11"/>
  <c r="J269" i="11"/>
  <c r="J237" i="11"/>
  <c r="J205" i="11"/>
  <c r="J173" i="11"/>
  <c r="J141" i="11"/>
  <c r="J109" i="11"/>
  <c r="K264" i="11"/>
  <c r="K232" i="11"/>
  <c r="K200" i="11"/>
  <c r="K168" i="11"/>
  <c r="K136" i="11"/>
  <c r="J264" i="11"/>
  <c r="J232" i="11"/>
  <c r="J200" i="11"/>
  <c r="J168" i="11"/>
  <c r="J136" i="11"/>
  <c r="K253" i="11"/>
  <c r="K221" i="11"/>
  <c r="K189" i="11"/>
  <c r="K157" i="11"/>
  <c r="K125" i="11"/>
  <c r="K19" i="11"/>
  <c r="K51" i="11"/>
  <c r="K83" i="11"/>
  <c r="K6" i="11"/>
  <c r="J44" i="11"/>
  <c r="J76" i="11"/>
  <c r="J108" i="11"/>
  <c r="K32" i="11"/>
  <c r="K64" i="11"/>
  <c r="K96" i="11"/>
  <c r="K14" i="11"/>
  <c r="J45" i="11"/>
  <c r="J77" i="11"/>
  <c r="J110" i="11"/>
  <c r="J47" i="11"/>
  <c r="J103" i="11"/>
  <c r="K94" i="11"/>
  <c r="J91" i="11"/>
  <c r="K254" i="11"/>
  <c r="K222" i="11"/>
  <c r="K190" i="11"/>
  <c r="K158" i="11"/>
  <c r="K126" i="11"/>
  <c r="J254" i="11"/>
  <c r="J222" i="11"/>
  <c r="J190" i="11"/>
  <c r="J158" i="11"/>
  <c r="J126" i="11"/>
  <c r="K243" i="11"/>
  <c r="K211" i="11"/>
  <c r="K179" i="11"/>
  <c r="K147" i="11"/>
  <c r="K115" i="11"/>
  <c r="K29" i="11"/>
  <c r="K61" i="11"/>
  <c r="K93" i="11"/>
  <c r="J22" i="11"/>
  <c r="J54" i="11"/>
  <c r="J86" i="11"/>
  <c r="J9" i="11"/>
  <c r="K42" i="11"/>
  <c r="K74" i="11"/>
  <c r="J116" i="11"/>
  <c r="J55" i="11"/>
  <c r="J73" i="11"/>
  <c r="J75" i="11"/>
  <c r="K260" i="11"/>
  <c r="K228" i="11"/>
  <c r="K196" i="11"/>
  <c r="K164" i="11"/>
  <c r="K132" i="11"/>
  <c r="J260" i="11"/>
  <c r="J228" i="11"/>
  <c r="J196" i="11"/>
  <c r="J164" i="11"/>
  <c r="J132" i="11"/>
  <c r="K249" i="11"/>
  <c r="K217" i="11"/>
  <c r="K185" i="11"/>
  <c r="K153" i="11"/>
  <c r="K121" i="11"/>
  <c r="K23" i="11"/>
  <c r="K55" i="11"/>
  <c r="K87" i="11"/>
  <c r="K15" i="11"/>
  <c r="J48" i="11"/>
  <c r="J80" i="11"/>
  <c r="K12" i="11"/>
  <c r="K36" i="11"/>
  <c r="K68" i="11"/>
  <c r="K100" i="11"/>
  <c r="J17" i="11"/>
  <c r="J81" i="11"/>
  <c r="J59" i="11"/>
  <c r="K258" i="11"/>
  <c r="K226" i="11"/>
  <c r="K194" i="11"/>
  <c r="K162" i="11"/>
  <c r="K130" i="11"/>
  <c r="J258" i="11"/>
  <c r="J226" i="11"/>
  <c r="J194" i="11"/>
  <c r="J162" i="11"/>
  <c r="J130" i="11"/>
  <c r="K247" i="11"/>
  <c r="K215" i="11"/>
  <c r="K183" i="11"/>
  <c r="K151" i="11"/>
  <c r="K119" i="11"/>
  <c r="K25" i="11"/>
  <c r="K57" i="11"/>
  <c r="K89" i="11"/>
  <c r="J18" i="11"/>
  <c r="J50" i="11"/>
  <c r="J82" i="11"/>
  <c r="J5" i="11"/>
  <c r="K38" i="11"/>
  <c r="K70" i="11"/>
  <c r="K13" i="11"/>
  <c r="K5" i="11"/>
  <c r="J83" i="11"/>
  <c r="K54" i="11"/>
  <c r="J98" i="11"/>
  <c r="J34" i="11"/>
  <c r="K73" i="11"/>
  <c r="J10" i="11"/>
  <c r="K167" i="11"/>
  <c r="K231" i="11"/>
  <c r="J146" i="11"/>
  <c r="J210" i="11"/>
  <c r="K114" i="11"/>
  <c r="K178" i="11"/>
  <c r="K242" i="11"/>
  <c r="K3" i="11"/>
  <c r="J120" i="11"/>
  <c r="K52" i="11"/>
  <c r="J96" i="11"/>
  <c r="J32" i="11"/>
  <c r="K71" i="11"/>
  <c r="J8" i="11"/>
  <c r="K169" i="11"/>
  <c r="K233" i="11"/>
  <c r="J148" i="11"/>
  <c r="J212" i="11"/>
  <c r="K116" i="11"/>
  <c r="K180" i="11"/>
  <c r="K244" i="11"/>
  <c r="K109" i="11"/>
  <c r="J23" i="11"/>
  <c r="K58" i="11"/>
  <c r="J102" i="11"/>
  <c r="J38" i="11"/>
  <c r="K77" i="11"/>
  <c r="J15" i="11"/>
  <c r="K163" i="11"/>
  <c r="K227" i="11"/>
  <c r="J142" i="11"/>
  <c r="J206" i="11"/>
  <c r="K270" i="11"/>
  <c r="K174" i="11"/>
  <c r="K238" i="11"/>
  <c r="J43" i="11"/>
  <c r="J79" i="11"/>
  <c r="J93" i="11"/>
  <c r="J29" i="11"/>
  <c r="K80" i="11"/>
  <c r="J14" i="11"/>
  <c r="J60" i="11"/>
  <c r="K99" i="11"/>
  <c r="K35" i="11"/>
  <c r="K141" i="11"/>
  <c r="K205" i="11"/>
  <c r="K269" i="11"/>
  <c r="J184" i="11"/>
  <c r="J248" i="11"/>
  <c r="K152" i="11"/>
  <c r="K216" i="11"/>
  <c r="J121" i="11"/>
  <c r="J157" i="11"/>
  <c r="J221" i="11"/>
  <c r="J284" i="11"/>
  <c r="J348" i="11"/>
  <c r="J412" i="11"/>
  <c r="K316" i="11"/>
  <c r="K436" i="11"/>
  <c r="K516" i="11"/>
  <c r="J175" i="11"/>
  <c r="J302" i="11"/>
  <c r="K326" i="11"/>
  <c r="K485" i="11"/>
  <c r="J344" i="11"/>
  <c r="J283" i="11"/>
  <c r="J163" i="11"/>
  <c r="J418" i="11"/>
  <c r="K393" i="11"/>
  <c r="J437" i="11"/>
  <c r="K476" i="11"/>
  <c r="K569" i="11"/>
  <c r="K365" i="11"/>
  <c r="J511" i="11"/>
  <c r="J297" i="11"/>
  <c r="K502" i="11"/>
  <c r="K449" i="11"/>
  <c r="K646" i="11"/>
  <c r="K753" i="11"/>
  <c r="J768" i="11"/>
  <c r="J646" i="11"/>
  <c r="J425" i="11"/>
  <c r="K327" i="11"/>
  <c r="K391" i="11"/>
  <c r="J458" i="11"/>
  <c r="K460" i="11"/>
  <c r="J459" i="11"/>
  <c r="K461" i="11"/>
  <c r="K542" i="11"/>
  <c r="J603" i="11"/>
  <c r="J462" i="11"/>
  <c r="K442" i="11"/>
  <c r="K506" i="11"/>
  <c r="J485" i="11"/>
  <c r="K513" i="11"/>
  <c r="J541" i="11"/>
  <c r="K587" i="11"/>
  <c r="J535" i="11"/>
  <c r="K581" i="11"/>
  <c r="K600" i="11"/>
  <c r="K551" i="11"/>
  <c r="J600" i="11"/>
  <c r="J621" i="11"/>
  <c r="K673" i="11"/>
  <c r="J727" i="11"/>
  <c r="J692" i="11"/>
  <c r="K738" i="11"/>
  <c r="J631" i="11"/>
  <c r="K683" i="11"/>
  <c r="J737" i="11"/>
  <c r="K716" i="11"/>
  <c r="K621" i="11"/>
  <c r="K723" i="11"/>
  <c r="K628" i="11"/>
  <c r="K709" i="11"/>
  <c r="J749" i="11"/>
  <c r="J733" i="11"/>
  <c r="J717" i="11"/>
  <c r="J701" i="11"/>
  <c r="J686" i="11"/>
  <c r="J670" i="11"/>
  <c r="J654" i="11"/>
  <c r="J638" i="11"/>
  <c r="J622" i="11"/>
  <c r="K679" i="11"/>
  <c r="K663" i="11"/>
  <c r="K647" i="11"/>
  <c r="K631" i="11"/>
  <c r="K615" i="11"/>
  <c r="J675" i="11"/>
  <c r="J659" i="11"/>
  <c r="J643" i="11"/>
  <c r="J627" i="11"/>
  <c r="J611" i="11"/>
  <c r="K684" i="11"/>
  <c r="K668" i="11"/>
  <c r="K652" i="11"/>
  <c r="K636" i="11"/>
  <c r="K620" i="11"/>
  <c r="J604" i="11"/>
  <c r="K774" i="11"/>
  <c r="K758" i="11"/>
  <c r="K742" i="11"/>
  <c r="K726" i="11"/>
  <c r="K710" i="11"/>
  <c r="K694" i="11"/>
  <c r="J760" i="11"/>
  <c r="J744" i="11"/>
  <c r="J728" i="11"/>
  <c r="J712" i="11"/>
  <c r="J696" i="11"/>
  <c r="K763" i="11"/>
  <c r="K747" i="11"/>
  <c r="K731" i="11"/>
  <c r="K715" i="11"/>
  <c r="K699" i="11"/>
  <c r="J763" i="11"/>
  <c r="J747" i="11"/>
  <c r="J731" i="11"/>
  <c r="J715" i="11"/>
  <c r="J699" i="11"/>
  <c r="J684" i="11"/>
  <c r="J668" i="11"/>
  <c r="J652" i="11"/>
  <c r="J636" i="11"/>
  <c r="J620" i="11"/>
  <c r="K677" i="11"/>
  <c r="K661" i="11"/>
  <c r="K645" i="11"/>
  <c r="K629" i="11"/>
  <c r="J689" i="11"/>
  <c r="J673" i="11"/>
  <c r="J657" i="11"/>
  <c r="J641" i="11"/>
  <c r="J625" i="11"/>
  <c r="J609" i="11"/>
  <c r="K682" i="11"/>
  <c r="K666" i="11"/>
  <c r="K650" i="11"/>
  <c r="K634" i="11"/>
  <c r="K618" i="11"/>
  <c r="J602" i="11"/>
  <c r="K772" i="11"/>
  <c r="K756" i="11"/>
  <c r="K740" i="11"/>
  <c r="K724" i="11"/>
  <c r="K708" i="11"/>
  <c r="J774" i="11"/>
  <c r="J758" i="11"/>
  <c r="J742" i="11"/>
  <c r="J726" i="11"/>
  <c r="J710" i="11"/>
  <c r="J694" i="11"/>
  <c r="K761" i="11"/>
  <c r="K745" i="11"/>
  <c r="K729" i="11"/>
  <c r="K713" i="11"/>
  <c r="K697" i="11"/>
  <c r="J765" i="11"/>
  <c r="J725" i="11"/>
  <c r="J693" i="11"/>
  <c r="J662" i="11"/>
  <c r="J630" i="11"/>
  <c r="K671" i="11"/>
  <c r="K639" i="11"/>
  <c r="J683" i="11"/>
  <c r="J651" i="11"/>
  <c r="J619" i="11"/>
  <c r="K676" i="11"/>
  <c r="K644" i="11"/>
  <c r="K612" i="11"/>
  <c r="K766" i="11"/>
  <c r="K734" i="11"/>
  <c r="K702" i="11"/>
  <c r="J752" i="11"/>
  <c r="J720" i="11"/>
  <c r="K771" i="11"/>
  <c r="K739" i="11"/>
  <c r="K707" i="11"/>
  <c r="J755" i="11"/>
  <c r="J723" i="11"/>
  <c r="J691" i="11"/>
  <c r="J660" i="11"/>
  <c r="J628" i="11"/>
  <c r="K669" i="11"/>
  <c r="K637" i="11"/>
  <c r="J681" i="11"/>
  <c r="J649" i="11"/>
  <c r="J617" i="11"/>
  <c r="K674" i="11"/>
  <c r="K642" i="11"/>
  <c r="K610" i="11"/>
  <c r="K764" i="11"/>
  <c r="K732" i="11"/>
  <c r="K700" i="11"/>
  <c r="J750" i="11"/>
  <c r="J718" i="11"/>
  <c r="K769" i="11"/>
  <c r="K737" i="11"/>
  <c r="K705" i="11"/>
  <c r="J761" i="11"/>
  <c r="J745" i="11"/>
  <c r="J729" i="11"/>
  <c r="J713" i="11"/>
  <c r="J697" i="11"/>
  <c r="J682" i="11"/>
  <c r="J666" i="11"/>
  <c r="J650" i="11"/>
  <c r="J634" i="11"/>
  <c r="J618" i="11"/>
  <c r="K675" i="11"/>
  <c r="K659" i="11"/>
  <c r="K643" i="11"/>
  <c r="K627" i="11"/>
  <c r="J687" i="11"/>
  <c r="J671" i="11"/>
  <c r="J655" i="11"/>
  <c r="J639" i="11"/>
  <c r="J623" i="11"/>
  <c r="K693" i="11"/>
  <c r="K680" i="11"/>
  <c r="K664" i="11"/>
  <c r="K648" i="11"/>
  <c r="K2" i="11"/>
  <c r="K762" i="11"/>
  <c r="K746" i="11"/>
  <c r="K730" i="11"/>
  <c r="K714" i="11"/>
  <c r="K698" i="11"/>
  <c r="J764" i="11"/>
  <c r="J748" i="11"/>
  <c r="J732" i="11"/>
  <c r="J716" i="11"/>
  <c r="J700" i="11"/>
  <c r="K767" i="11"/>
  <c r="K751" i="11"/>
  <c r="K735" i="11"/>
  <c r="K719" i="11"/>
  <c r="K703" i="11"/>
  <c r="J767" i="11"/>
  <c r="J751" i="11"/>
  <c r="J735" i="11"/>
  <c r="J719" i="11"/>
  <c r="J703" i="11"/>
  <c r="J688" i="11"/>
  <c r="J672" i="11"/>
  <c r="J656" i="11"/>
  <c r="J640" i="11"/>
  <c r="J624" i="11"/>
  <c r="K681" i="11"/>
  <c r="K665" i="11"/>
  <c r="K649" i="11"/>
  <c r="K633" i="11"/>
  <c r="K617" i="11"/>
  <c r="J677" i="11"/>
  <c r="J661" i="11"/>
  <c r="J645" i="11"/>
  <c r="J629" i="11"/>
  <c r="J613" i="11"/>
  <c r="K686" i="11"/>
  <c r="K670" i="11"/>
  <c r="K654" i="11"/>
  <c r="K638" i="11"/>
  <c r="K622" i="11"/>
  <c r="J606" i="11"/>
  <c r="K632" i="11"/>
  <c r="J586" i="11"/>
  <c r="J570" i="11"/>
  <c r="J554" i="11"/>
  <c r="J538" i="11"/>
  <c r="K607" i="11"/>
  <c r="K591" i="11"/>
  <c r="K575" i="11"/>
  <c r="K559" i="11"/>
  <c r="K543" i="11"/>
  <c r="K527" i="11"/>
  <c r="J593" i="11"/>
  <c r="J577" i="11"/>
  <c r="J561" i="11"/>
  <c r="J545" i="11"/>
  <c r="J529" i="11"/>
  <c r="K608" i="11"/>
  <c r="K592" i="11"/>
  <c r="K624" i="11"/>
  <c r="J584" i="11"/>
  <c r="J568" i="11"/>
  <c r="J552" i="11"/>
  <c r="J536" i="11"/>
  <c r="K605" i="11"/>
  <c r="K589" i="11"/>
  <c r="K573" i="11"/>
  <c r="K557" i="11"/>
  <c r="K541" i="11"/>
  <c r="J607" i="11"/>
  <c r="J591" i="11"/>
  <c r="J575" i="11"/>
  <c r="J559" i="11"/>
  <c r="J543" i="11"/>
  <c r="J527" i="11"/>
  <c r="K606" i="11"/>
  <c r="J590" i="11"/>
  <c r="J574" i="11"/>
  <c r="J558" i="11"/>
  <c r="J542" i="11"/>
  <c r="J526" i="11"/>
  <c r="K595" i="11"/>
  <c r="K579" i="11"/>
  <c r="K563" i="11"/>
  <c r="K547" i="11"/>
  <c r="K531" i="11"/>
  <c r="J597" i="11"/>
  <c r="J581" i="11"/>
  <c r="J565" i="11"/>
  <c r="J549" i="11"/>
  <c r="J533" i="11"/>
  <c r="J610" i="11"/>
  <c r="K596" i="11"/>
  <c r="K580" i="11"/>
  <c r="K564" i="11"/>
  <c r="K548" i="11"/>
  <c r="K532" i="11"/>
  <c r="K521" i="11"/>
  <c r="K505" i="11"/>
  <c r="K489" i="11"/>
  <c r="K473" i="11"/>
  <c r="K457" i="11"/>
  <c r="K441" i="11"/>
  <c r="J509" i="11"/>
  <c r="J741" i="11"/>
  <c r="J678" i="11"/>
  <c r="K687" i="11"/>
  <c r="K623" i="11"/>
  <c r="J635" i="11"/>
  <c r="K660" i="11"/>
  <c r="J596" i="11"/>
  <c r="K718" i="11"/>
  <c r="J736" i="11"/>
  <c r="K755" i="11"/>
  <c r="J771" i="11"/>
  <c r="J707" i="11"/>
  <c r="J644" i="11"/>
  <c r="K653" i="11"/>
  <c r="J665" i="11"/>
  <c r="K690" i="11"/>
  <c r="K626" i="11"/>
  <c r="K748" i="11"/>
  <c r="J766" i="11"/>
  <c r="J702" i="11"/>
  <c r="K721" i="11"/>
  <c r="J753" i="11"/>
  <c r="J721" i="11"/>
  <c r="J690" i="11"/>
  <c r="J658" i="11"/>
  <c r="J626" i="11"/>
  <c r="K667" i="11"/>
  <c r="K635" i="11"/>
  <c r="J679" i="11"/>
  <c r="J647" i="11"/>
  <c r="J615" i="11"/>
  <c r="K672" i="11"/>
  <c r="K640" i="11"/>
  <c r="K754" i="11"/>
  <c r="K722" i="11"/>
  <c r="J772" i="11"/>
  <c r="J740" i="11"/>
  <c r="J708" i="11"/>
  <c r="K759" i="11"/>
  <c r="K727" i="11"/>
  <c r="K695" i="11"/>
  <c r="J743" i="11"/>
  <c r="J711" i="11"/>
  <c r="J680" i="11"/>
  <c r="J648" i="11"/>
  <c r="K689" i="11"/>
  <c r="K657" i="11"/>
  <c r="K625" i="11"/>
  <c r="J669" i="11"/>
  <c r="J637" i="11"/>
  <c r="K692" i="11"/>
  <c r="K662" i="11"/>
  <c r="K630" i="11"/>
  <c r="J598" i="11"/>
  <c r="J578" i="11"/>
  <c r="J546" i="11"/>
  <c r="K599" i="11"/>
  <c r="K567" i="11"/>
  <c r="K535" i="11"/>
  <c r="J585" i="11"/>
  <c r="J553" i="11"/>
  <c r="J612" i="11"/>
  <c r="K584" i="11"/>
  <c r="J576" i="11"/>
  <c r="J544" i="11"/>
  <c r="K597" i="11"/>
  <c r="K565" i="11"/>
  <c r="K533" i="11"/>
  <c r="J583" i="11"/>
  <c r="J551" i="11"/>
  <c r="K611" i="11"/>
  <c r="J582" i="11"/>
  <c r="J550" i="11"/>
  <c r="K603" i="11"/>
  <c r="K571" i="11"/>
  <c r="K539" i="11"/>
  <c r="J589" i="11"/>
  <c r="J557" i="11"/>
  <c r="J614" i="11"/>
  <c r="K588" i="11"/>
  <c r="K556" i="11"/>
  <c r="K524" i="11"/>
  <c r="K497" i="11"/>
  <c r="K465" i="11"/>
  <c r="J517" i="11"/>
  <c r="J493" i="11"/>
  <c r="J477" i="11"/>
  <c r="J461" i="11"/>
  <c r="J445" i="11"/>
  <c r="K514" i="11"/>
  <c r="K498" i="11"/>
  <c r="K482" i="11"/>
  <c r="K466" i="11"/>
  <c r="K450" i="11"/>
  <c r="J518" i="11"/>
  <c r="J502" i="11"/>
  <c r="J486" i="11"/>
  <c r="J470" i="11"/>
  <c r="J454" i="11"/>
  <c r="J608" i="11"/>
  <c r="J532" i="11"/>
  <c r="K553" i="11"/>
  <c r="J571" i="11"/>
  <c r="K602" i="11"/>
  <c r="K574" i="11"/>
  <c r="K552" i="11"/>
  <c r="K530" i="11"/>
  <c r="K515" i="11"/>
  <c r="K493" i="11"/>
  <c r="K471" i="11"/>
  <c r="K451" i="11"/>
  <c r="J513" i="11"/>
  <c r="J491" i="11"/>
  <c r="J471" i="11"/>
  <c r="J449" i="11"/>
  <c r="K512" i="11"/>
  <c r="K492" i="11"/>
  <c r="K470" i="11"/>
  <c r="K448" i="11"/>
  <c r="J512" i="11"/>
  <c r="J490" i="11"/>
  <c r="J468" i="11"/>
  <c r="J448" i="11"/>
  <c r="K431" i="11"/>
  <c r="K415" i="11"/>
  <c r="K399" i="11"/>
  <c r="K383" i="11"/>
  <c r="K367" i="11"/>
  <c r="K351" i="11"/>
  <c r="K335" i="11"/>
  <c r="K319" i="11"/>
  <c r="K303" i="11"/>
  <c r="K287" i="11"/>
  <c r="J433" i="11"/>
  <c r="J417" i="11"/>
  <c r="J401" i="11"/>
  <c r="J385" i="11"/>
  <c r="J369" i="11"/>
  <c r="J353" i="11"/>
  <c r="J337" i="11"/>
  <c r="J321" i="11"/>
  <c r="J305" i="11"/>
  <c r="J289" i="11"/>
  <c r="J273" i="11"/>
  <c r="K426" i="11"/>
  <c r="K410" i="11"/>
  <c r="J556" i="11"/>
  <c r="K577" i="11"/>
  <c r="J595" i="11"/>
  <c r="J531" i="11"/>
  <c r="K582" i="11"/>
  <c r="K560" i="11"/>
  <c r="K538" i="11"/>
  <c r="J522" i="11"/>
  <c r="K501" i="11"/>
  <c r="K479" i="11"/>
  <c r="K459" i="11"/>
  <c r="J521" i="11"/>
  <c r="J499" i="11"/>
  <c r="J479" i="11"/>
  <c r="J457" i="11"/>
  <c r="K520" i="11"/>
  <c r="K500" i="11"/>
  <c r="K478" i="11"/>
  <c r="K456" i="11"/>
  <c r="J520" i="11"/>
  <c r="J498" i="11"/>
  <c r="J476" i="11"/>
  <c r="J456" i="11"/>
  <c r="K437" i="11"/>
  <c r="K421" i="11"/>
  <c r="K405" i="11"/>
  <c r="K389" i="11"/>
  <c r="K373" i="11"/>
  <c r="K357" i="11"/>
  <c r="K341" i="11"/>
  <c r="K325" i="11"/>
  <c r="K309" i="11"/>
  <c r="K293" i="11"/>
  <c r="J439" i="11"/>
  <c r="J423" i="11"/>
  <c r="J407" i="11"/>
  <c r="J391" i="11"/>
  <c r="J375" i="11"/>
  <c r="J359" i="11"/>
  <c r="J343" i="11"/>
  <c r="J327" i="11"/>
  <c r="J311" i="11"/>
  <c r="J580" i="11"/>
  <c r="K601" i="11"/>
  <c r="K537" i="11"/>
  <c r="J555" i="11"/>
  <c r="K594" i="11"/>
  <c r="K568" i="11"/>
  <c r="K546" i="11"/>
  <c r="K526" i="11"/>
  <c r="K509" i="11"/>
  <c r="K487" i="11"/>
  <c r="K467" i="11"/>
  <c r="K445" i="11"/>
  <c r="J507" i="11"/>
  <c r="J487" i="11"/>
  <c r="J465" i="11"/>
  <c r="J443" i="11"/>
  <c r="K508" i="11"/>
  <c r="K486" i="11"/>
  <c r="K464" i="11"/>
  <c r="K444" i="11"/>
  <c r="J506" i="11"/>
  <c r="J484" i="11"/>
  <c r="J464" i="11"/>
  <c r="J442" i="11"/>
  <c r="K427" i="11"/>
  <c r="K411" i="11"/>
  <c r="K395" i="11"/>
  <c r="K379" i="11"/>
  <c r="K363" i="11"/>
  <c r="K347" i="11"/>
  <c r="K331" i="11"/>
  <c r="K315" i="11"/>
  <c r="K299" i="11"/>
  <c r="K283" i="11"/>
  <c r="J429" i="11"/>
  <c r="J413" i="11"/>
  <c r="J397" i="11"/>
  <c r="J381" i="11"/>
  <c r="J365" i="11"/>
  <c r="J349" i="11"/>
  <c r="J333" i="11"/>
  <c r="J317" i="11"/>
  <c r="J301" i="11"/>
  <c r="J572" i="11"/>
  <c r="K590" i="11"/>
  <c r="K507" i="11"/>
  <c r="J505" i="11"/>
  <c r="K504" i="11"/>
  <c r="J504" i="11"/>
  <c r="K425" i="11"/>
  <c r="K361" i="11"/>
  <c r="K297" i="11"/>
  <c r="J395" i="11"/>
  <c r="J331" i="11"/>
  <c r="J285" i="11"/>
  <c r="K432" i="11"/>
  <c r="K412" i="11"/>
  <c r="K394" i="11"/>
  <c r="K378" i="11"/>
  <c r="K362" i="11"/>
  <c r="K346" i="11"/>
  <c r="K330" i="11"/>
  <c r="K314" i="11"/>
  <c r="K298" i="11"/>
  <c r="K282" i="11"/>
  <c r="J426" i="11"/>
  <c r="J410" i="11"/>
  <c r="J394" i="11"/>
  <c r="J378" i="11"/>
  <c r="J362" i="11"/>
  <c r="J346" i="11"/>
  <c r="J330" i="11"/>
  <c r="J314" i="11"/>
  <c r="J298" i="11"/>
  <c r="J282" i="11"/>
  <c r="J267" i="11"/>
  <c r="J251" i="11"/>
  <c r="J235" i="11"/>
  <c r="J219" i="11"/>
  <c r="J203" i="11"/>
  <c r="J187" i="11"/>
  <c r="J171" i="11"/>
  <c r="J155" i="11"/>
  <c r="J139" i="11"/>
  <c r="J123" i="11"/>
  <c r="K278" i="11"/>
  <c r="K268" i="11"/>
  <c r="J579" i="11"/>
  <c r="K534" i="11"/>
  <c r="K453" i="11"/>
  <c r="J451" i="11"/>
  <c r="K452" i="11"/>
  <c r="J450" i="11"/>
  <c r="K385" i="11"/>
  <c r="K321" i="11"/>
  <c r="J419" i="11"/>
  <c r="J355" i="11"/>
  <c r="J295" i="11"/>
  <c r="J271" i="11"/>
  <c r="K420" i="11"/>
  <c r="K400" i="11"/>
  <c r="K384" i="11"/>
  <c r="K368" i="11"/>
  <c r="K352" i="11"/>
  <c r="K336" i="11"/>
  <c r="K320" i="11"/>
  <c r="K304" i="11"/>
  <c r="K288" i="11"/>
  <c r="J432" i="11"/>
  <c r="J416" i="11"/>
  <c r="J400" i="11"/>
  <c r="J384" i="11"/>
  <c r="J368" i="11"/>
  <c r="J352" i="11"/>
  <c r="J336" i="11"/>
  <c r="J320" i="11"/>
  <c r="J304" i="11"/>
  <c r="J288" i="11"/>
  <c r="J272" i="11"/>
  <c r="J257" i="11"/>
  <c r="J241" i="11"/>
  <c r="J225" i="11"/>
  <c r="J209" i="11"/>
  <c r="J193" i="11"/>
  <c r="J177" i="11"/>
  <c r="J161" i="11"/>
  <c r="J145" i="11"/>
  <c r="J129" i="11"/>
  <c r="J547" i="11"/>
  <c r="K522" i="11"/>
  <c r="K443" i="11"/>
  <c r="J441" i="11"/>
  <c r="K440" i="11"/>
  <c r="J440" i="11"/>
  <c r="K377" i="11"/>
  <c r="K313" i="11"/>
  <c r="J411" i="11"/>
  <c r="J347" i="11"/>
  <c r="J291" i="11"/>
  <c r="K438" i="11"/>
  <c r="K416" i="11"/>
  <c r="K398" i="11"/>
  <c r="K382" i="11"/>
  <c r="K366" i="11"/>
  <c r="K350" i="11"/>
  <c r="K334" i="11"/>
  <c r="K318" i="11"/>
  <c r="K302" i="11"/>
  <c r="K286" i="11"/>
  <c r="J430" i="11"/>
  <c r="J414" i="11"/>
  <c r="J398" i="11"/>
  <c r="J382" i="11"/>
  <c r="K7" i="11"/>
  <c r="J51" i="11"/>
  <c r="K102" i="11"/>
  <c r="K78" i="11"/>
  <c r="K62" i="11"/>
  <c r="K46" i="11"/>
  <c r="K30" i="11"/>
  <c r="J13" i="11"/>
  <c r="J106" i="11"/>
  <c r="J90" i="11"/>
  <c r="J74" i="11"/>
  <c r="J58" i="11"/>
  <c r="J42" i="11"/>
  <c r="J26" i="11"/>
  <c r="J118" i="11"/>
  <c r="K97" i="11"/>
  <c r="K81" i="11"/>
  <c r="K65" i="11"/>
  <c r="K49" i="11"/>
  <c r="K33" i="11"/>
  <c r="K17" i="11"/>
  <c r="K111" i="11"/>
  <c r="K127" i="11"/>
  <c r="K143" i="11"/>
  <c r="K159" i="11"/>
  <c r="K175" i="11"/>
  <c r="K191" i="11"/>
  <c r="K207" i="11"/>
  <c r="K223" i="11"/>
  <c r="K239" i="11"/>
  <c r="K255" i="11"/>
  <c r="J122" i="11"/>
  <c r="J138" i="11"/>
  <c r="J154" i="11"/>
  <c r="J170" i="11"/>
  <c r="J186" i="11"/>
  <c r="J202" i="11"/>
  <c r="J218" i="11"/>
  <c r="J234" i="11"/>
  <c r="J250" i="11"/>
  <c r="J266" i="11"/>
  <c r="K122" i="11"/>
  <c r="K138" i="11"/>
  <c r="K154" i="11"/>
  <c r="K170" i="11"/>
  <c r="K186" i="11"/>
  <c r="K202" i="11"/>
  <c r="K218" i="11"/>
  <c r="K234" i="11"/>
  <c r="K250" i="11"/>
  <c r="K266" i="11"/>
  <c r="J99" i="11"/>
  <c r="J35" i="11"/>
  <c r="J105" i="11"/>
  <c r="J57" i="11"/>
  <c r="J25" i="11"/>
  <c r="K11" i="11"/>
  <c r="K108" i="11"/>
  <c r="K92" i="11"/>
  <c r="K76" i="11"/>
  <c r="K60" i="11"/>
  <c r="K44" i="11"/>
  <c r="K28" i="11"/>
  <c r="J11" i="11"/>
  <c r="J104" i="11"/>
  <c r="J88" i="11"/>
  <c r="J72" i="11"/>
  <c r="J56" i="11"/>
  <c r="J40" i="11"/>
  <c r="J24" i="11"/>
  <c r="J114" i="11"/>
  <c r="K95" i="11"/>
  <c r="K79" i="11"/>
  <c r="K63" i="11"/>
  <c r="K47" i="11"/>
  <c r="K31" i="11"/>
  <c r="K16" i="11"/>
  <c r="K113" i="11"/>
  <c r="K129" i="11"/>
  <c r="K145" i="11"/>
  <c r="K161" i="11"/>
  <c r="K177" i="11"/>
  <c r="K193" i="11"/>
  <c r="K209" i="11"/>
  <c r="K225" i="11"/>
  <c r="K241" i="11"/>
  <c r="K257" i="11"/>
  <c r="J124" i="11"/>
  <c r="J140" i="11"/>
  <c r="J156" i="11"/>
  <c r="J172" i="11"/>
  <c r="J188" i="11"/>
  <c r="J204" i="11"/>
  <c r="J220" i="11"/>
  <c r="J236" i="11"/>
  <c r="J252" i="11"/>
  <c r="J268" i="11"/>
  <c r="K124" i="11"/>
  <c r="K140" i="11"/>
  <c r="K156" i="11"/>
  <c r="K172" i="11"/>
  <c r="K188" i="11"/>
  <c r="K204" i="11"/>
  <c r="K220" i="11"/>
  <c r="K236" i="11"/>
  <c r="K252" i="11"/>
  <c r="K271" i="11"/>
  <c r="J107" i="11"/>
  <c r="J27" i="11"/>
  <c r="J97" i="11"/>
  <c r="J41" i="11"/>
  <c r="J71" i="11"/>
  <c r="J39" i="11"/>
  <c r="K9" i="11"/>
  <c r="K98" i="11"/>
  <c r="K82" i="11"/>
  <c r="K66" i="11"/>
  <c r="K50" i="11"/>
  <c r="K34" i="11"/>
  <c r="K18" i="11"/>
  <c r="K8" i="11"/>
  <c r="J94" i="11"/>
  <c r="J78" i="11"/>
  <c r="J62" i="11"/>
  <c r="J46" i="11"/>
  <c r="J30" i="11"/>
  <c r="K10" i="11"/>
  <c r="K101" i="11"/>
  <c r="K85" i="11"/>
  <c r="K69" i="11"/>
  <c r="K53" i="11"/>
  <c r="K37" i="11"/>
  <c r="K21" i="11"/>
  <c r="J6" i="11"/>
  <c r="K123" i="11"/>
  <c r="K139" i="11"/>
  <c r="K155" i="11"/>
  <c r="K171" i="11"/>
  <c r="K187" i="11"/>
  <c r="K203" i="11"/>
  <c r="K219" i="11"/>
  <c r="K235" i="11"/>
  <c r="K251" i="11"/>
  <c r="K267" i="11"/>
  <c r="J134" i="11"/>
  <c r="J150" i="11"/>
  <c r="J166" i="11"/>
  <c r="J182" i="11"/>
  <c r="J198" i="11"/>
  <c r="J214" i="11"/>
  <c r="J230" i="11"/>
  <c r="J246" i="11"/>
  <c r="J262" i="11"/>
  <c r="K118" i="11"/>
  <c r="K134" i="11"/>
  <c r="K150" i="11"/>
  <c r="K166" i="11"/>
  <c r="K182" i="11"/>
  <c r="K198" i="11"/>
  <c r="K214" i="11"/>
  <c r="K230" i="11"/>
  <c r="K246" i="11"/>
  <c r="K262" i="11"/>
  <c r="J113" i="11"/>
  <c r="J67" i="11"/>
  <c r="J19" i="11"/>
  <c r="J89" i="11"/>
  <c r="J49" i="11"/>
  <c r="J95" i="11"/>
  <c r="J63" i="11"/>
  <c r="J31" i="11"/>
  <c r="K106" i="11"/>
  <c r="J101" i="11"/>
  <c r="J85" i="11"/>
  <c r="J69" i="11"/>
  <c r="J53" i="11"/>
  <c r="J37" i="11"/>
  <c r="J21" i="11"/>
  <c r="J4" i="11"/>
  <c r="K104" i="11"/>
  <c r="K88" i="11"/>
  <c r="K72" i="11"/>
  <c r="K56" i="11"/>
  <c r="K40" i="11"/>
  <c r="K24" i="11"/>
  <c r="J7" i="11"/>
  <c r="J100" i="11"/>
  <c r="J84" i="11"/>
  <c r="J68" i="11"/>
  <c r="J52" i="11"/>
  <c r="J36" i="11"/>
  <c r="J20" i="11"/>
  <c r="K107" i="11"/>
  <c r="K91" i="11"/>
  <c r="K75" i="11"/>
  <c r="K59" i="11"/>
  <c r="K43" i="11"/>
  <c r="K27" i="11"/>
  <c r="J12" i="11"/>
  <c r="K117" i="11"/>
  <c r="K133" i="11"/>
  <c r="K149" i="11"/>
  <c r="K165" i="11"/>
  <c r="K181" i="11"/>
  <c r="K197" i="11"/>
  <c r="K213" i="11"/>
  <c r="K229" i="11"/>
  <c r="K245" i="11"/>
  <c r="K261" i="11"/>
  <c r="J128" i="11"/>
  <c r="J144" i="11"/>
  <c r="J160" i="11"/>
  <c r="J176" i="11"/>
  <c r="J192" i="11"/>
  <c r="J208" i="11"/>
  <c r="J224" i="11"/>
  <c r="J240" i="11"/>
  <c r="J256" i="11"/>
  <c r="K112" i="11"/>
  <c r="K128" i="11"/>
  <c r="K144" i="11"/>
  <c r="K160" i="11"/>
  <c r="K176" i="11"/>
  <c r="K192" i="11"/>
  <c r="K208" i="11"/>
  <c r="K224" i="11"/>
  <c r="K240" i="11"/>
  <c r="K256" i="11"/>
  <c r="K273" i="11"/>
  <c r="K275" i="11"/>
  <c r="J117" i="11"/>
  <c r="J133" i="11"/>
  <c r="J149" i="11"/>
  <c r="J165" i="11"/>
  <c r="J181" i="11"/>
  <c r="J197" i="11"/>
  <c r="J213" i="11"/>
  <c r="J229" i="11"/>
  <c r="J245" i="11"/>
  <c r="J261" i="11"/>
  <c r="J276" i="11"/>
  <c r="J292" i="11"/>
  <c r="J308" i="11"/>
  <c r="J324" i="11"/>
  <c r="J340" i="11"/>
  <c r="J356" i="11"/>
  <c r="J372" i="11"/>
  <c r="J388" i="11"/>
  <c r="J404" i="11"/>
  <c r="J420" i="11"/>
  <c r="J436" i="11"/>
  <c r="K292" i="11"/>
  <c r="K308" i="11"/>
  <c r="K324" i="11"/>
  <c r="K340" i="11"/>
  <c r="K356" i="11"/>
  <c r="K372" i="11"/>
  <c r="K388" i="11"/>
  <c r="K404" i="11"/>
  <c r="K424" i="11"/>
  <c r="J277" i="11"/>
  <c r="J307" i="11"/>
  <c r="J371" i="11"/>
  <c r="J435" i="11"/>
  <c r="K337" i="11"/>
  <c r="K401" i="11"/>
  <c r="J472" i="11"/>
  <c r="K472" i="11"/>
  <c r="J473" i="11"/>
  <c r="K475" i="11"/>
  <c r="K554" i="11"/>
  <c r="K561" i="11"/>
  <c r="J119" i="11"/>
  <c r="J135" i="11"/>
  <c r="J151" i="11"/>
  <c r="J167" i="11"/>
  <c r="J183" i="11"/>
  <c r="J199" i="11"/>
  <c r="J215" i="11"/>
  <c r="J231" i="11"/>
  <c r="J247" i="11"/>
  <c r="J263" i="11"/>
  <c r="J278" i="11"/>
  <c r="J294" i="11"/>
  <c r="J310" i="11"/>
  <c r="J326" i="11"/>
  <c r="J342" i="11"/>
  <c r="J358" i="11"/>
  <c r="J374" i="11"/>
  <c r="J406" i="11"/>
  <c r="J438" i="11"/>
  <c r="K310" i="11"/>
  <c r="K342" i="11"/>
  <c r="K374" i="11"/>
  <c r="K406" i="11"/>
  <c r="J279" i="11"/>
  <c r="J379" i="11"/>
  <c r="K345" i="11"/>
  <c r="J482" i="11"/>
  <c r="J483" i="11"/>
  <c r="K566" i="11"/>
  <c r="J137" i="11"/>
  <c r="J169" i="11"/>
  <c r="J201" i="11"/>
  <c r="J233" i="11"/>
  <c r="J265" i="11"/>
  <c r="J296" i="11"/>
  <c r="J328" i="11"/>
  <c r="J360" i="11"/>
  <c r="J392" i="11"/>
  <c r="J424" i="11"/>
  <c r="K296" i="11"/>
  <c r="K328" i="11"/>
  <c r="K360" i="11"/>
  <c r="K392" i="11"/>
  <c r="K430" i="11"/>
  <c r="J323" i="11"/>
  <c r="K289" i="11"/>
  <c r="K417" i="11"/>
  <c r="K494" i="11"/>
  <c r="K495" i="11"/>
  <c r="J540" i="11"/>
  <c r="J115" i="11"/>
  <c r="J147" i="11"/>
  <c r="J179" i="11"/>
  <c r="J211" i="11"/>
  <c r="J243" i="11"/>
  <c r="J274" i="11"/>
  <c r="J306" i="11"/>
  <c r="J338" i="11"/>
  <c r="J370" i="11"/>
  <c r="J402" i="11"/>
  <c r="J434" i="11"/>
  <c r="K306" i="11"/>
  <c r="K338" i="11"/>
  <c r="K370" i="11"/>
  <c r="K402" i="11"/>
  <c r="J275" i="11"/>
  <c r="J363" i="11"/>
  <c r="K329" i="11"/>
  <c r="J460" i="11"/>
  <c r="J463" i="11"/>
  <c r="K544" i="11"/>
  <c r="J293" i="11"/>
  <c r="J325" i="11"/>
  <c r="J357" i="11"/>
  <c r="J389" i="11"/>
  <c r="J421" i="11"/>
  <c r="K291" i="11"/>
  <c r="K323" i="11"/>
  <c r="K355" i="11"/>
  <c r="K387" i="11"/>
  <c r="K419" i="11"/>
  <c r="J452" i="11"/>
  <c r="J496" i="11"/>
  <c r="K454" i="11"/>
  <c r="K496" i="11"/>
  <c r="J455" i="11"/>
  <c r="J497" i="11"/>
  <c r="K455" i="11"/>
  <c r="K499" i="11"/>
  <c r="K536" i="11"/>
  <c r="K578" i="11"/>
  <c r="J587" i="11"/>
  <c r="J548" i="11"/>
  <c r="J319" i="11"/>
  <c r="J351" i="11"/>
  <c r="J383" i="11"/>
  <c r="J415" i="11"/>
  <c r="K285" i="11"/>
  <c r="K317" i="11"/>
  <c r="K349" i="11"/>
  <c r="K381" i="11"/>
  <c r="K413" i="11"/>
  <c r="J444" i="11"/>
  <c r="J488" i="11"/>
  <c r="K446" i="11"/>
  <c r="K488" i="11"/>
  <c r="J447" i="11"/>
  <c r="J489" i="11"/>
  <c r="K447" i="11"/>
  <c r="K491" i="11"/>
  <c r="K528" i="11"/>
  <c r="K570" i="11"/>
  <c r="J563" i="11"/>
  <c r="J616" i="11"/>
  <c r="K418" i="11"/>
  <c r="J281" i="11"/>
  <c r="J313" i="11"/>
  <c r="J345" i="11"/>
  <c r="J377" i="11"/>
  <c r="J409" i="11"/>
  <c r="K279" i="11"/>
  <c r="K311" i="11"/>
  <c r="K343" i="11"/>
  <c r="K375" i="11"/>
  <c r="K407" i="11"/>
  <c r="K439" i="11"/>
  <c r="J480" i="11"/>
  <c r="J523" i="11"/>
  <c r="K480" i="11"/>
  <c r="J524" i="11"/>
  <c r="J481" i="11"/>
  <c r="J525" i="11"/>
  <c r="K483" i="11"/>
  <c r="K525" i="11"/>
  <c r="K562" i="11"/>
  <c r="J539" i="11"/>
  <c r="K585" i="11"/>
  <c r="J446" i="11"/>
  <c r="J478" i="11"/>
  <c r="J510" i="11"/>
  <c r="K458" i="11"/>
  <c r="K490" i="11"/>
  <c r="K523" i="11"/>
  <c r="J469" i="11"/>
  <c r="J501" i="11"/>
  <c r="K481" i="11"/>
  <c r="K540" i="11"/>
  <c r="K604" i="11"/>
  <c r="J573" i="11"/>
  <c r="K555" i="11"/>
  <c r="J534" i="11"/>
  <c r="K616" i="11"/>
  <c r="J567" i="11"/>
  <c r="K549" i="11"/>
  <c r="J528" i="11"/>
  <c r="J592" i="11"/>
  <c r="J537" i="11"/>
  <c r="J601" i="11"/>
  <c r="K583" i="11"/>
  <c r="J562" i="11"/>
  <c r="K614" i="11"/>
  <c r="K678" i="11"/>
  <c r="J653" i="11"/>
  <c r="K641" i="11"/>
  <c r="J632" i="11"/>
  <c r="J695" i="11"/>
  <c r="J759" i="11"/>
  <c r="K743" i="11"/>
  <c r="J724" i="11"/>
  <c r="K706" i="11"/>
  <c r="K770" i="11"/>
  <c r="K688" i="11"/>
  <c r="J663" i="11"/>
  <c r="K651" i="11"/>
  <c r="J642" i="11"/>
  <c r="J705" i="11"/>
  <c r="J769" i="11"/>
  <c r="J734" i="11"/>
  <c r="J594" i="11"/>
  <c r="J633" i="11"/>
  <c r="K685" i="11"/>
  <c r="J739" i="11"/>
  <c r="J704" i="11"/>
  <c r="K750" i="11"/>
  <c r="K691" i="11"/>
  <c r="K655" i="11"/>
  <c r="J709" i="11"/>
  <c r="J3" i="11"/>
  <c r="J757" i="11"/>
  <c r="J773" i="11"/>
  <c r="K725" i="11"/>
  <c r="J706" i="11"/>
  <c r="K701" i="11"/>
  <c r="K717" i="11"/>
  <c r="K741" i="11"/>
  <c r="K773" i="11"/>
  <c r="J722" i="11"/>
  <c r="J754" i="11"/>
  <c r="K733" i="11"/>
  <c r="K749" i="11"/>
  <c r="K765" i="11"/>
  <c r="J698" i="11"/>
  <c r="J714" i="11"/>
  <c r="J738" i="11"/>
  <c r="J770" i="11"/>
  <c r="J730" i="11"/>
  <c r="J746" i="11"/>
  <c r="J762" i="11"/>
  <c r="K728" i="11"/>
  <c r="K696" i="11"/>
  <c r="K760" i="11"/>
  <c r="K712" i="11"/>
  <c r="K744" i="11"/>
  <c r="K775" i="11"/>
  <c r="K704" i="11"/>
  <c r="K720" i="11"/>
  <c r="K736" i="11"/>
  <c r="K752" i="11"/>
  <c r="K768" i="11"/>
  <c r="N13" i="3"/>
  <c r="D62" i="3" l="1"/>
  <c r="N62" i="3"/>
  <c r="D19" i="3"/>
  <c r="N17" i="3" s="1"/>
  <c r="C34" i="3" l="1"/>
  <c r="C33" i="3"/>
  <c r="C35" i="3" s="1"/>
  <c r="C29" i="3"/>
  <c r="N18" i="3"/>
  <c r="C37" i="3" l="1"/>
  <c r="N23" i="3"/>
  <c r="C36" i="3"/>
  <c r="C43" i="3" s="1"/>
  <c r="C44" i="3" l="1"/>
  <c r="C42" i="3"/>
  <c r="C41" i="3"/>
  <c r="C51" i="3" s="1"/>
  <c r="N21" i="3" l="1"/>
  <c r="N63" i="3" s="1"/>
  <c r="C48" i="3"/>
  <c r="N64" i="3" l="1"/>
  <c r="D63" i="3"/>
  <c r="D64" i="3" s="1"/>
  <c r="B6" i="15" l="1"/>
  <c r="O14" i="7"/>
  <c r="C18" i="10" s="1"/>
  <c r="H9" i="10" s="1"/>
  <c r="P24" i="14" l="1"/>
  <c r="O24" i="7"/>
  <c r="H16" i="10"/>
  <c r="O22" i="7" s="1"/>
  <c r="Q1" i="11"/>
  <c r="L451" i="11" l="1"/>
  <c r="M451" i="11" s="1"/>
  <c r="L445" i="11"/>
  <c r="M445" i="11" s="1"/>
  <c r="L166" i="11"/>
  <c r="M166" i="11" s="1"/>
  <c r="L317" i="11"/>
  <c r="M317" i="11" s="1"/>
  <c r="L402" i="11"/>
  <c r="M402" i="11" s="1"/>
  <c r="L692" i="11"/>
  <c r="M692" i="11" s="1"/>
  <c r="L562" i="11"/>
  <c r="M562" i="11" s="1"/>
  <c r="L203" i="11"/>
  <c r="M203" i="11" s="1"/>
  <c r="L34" i="11"/>
  <c r="M34" i="11" s="1"/>
  <c r="L63" i="11"/>
  <c r="M63" i="11" s="1"/>
  <c r="L405" i="11"/>
  <c r="M405" i="11" s="1"/>
  <c r="L416" i="11"/>
  <c r="M416" i="11" s="1"/>
  <c r="L616" i="11"/>
  <c r="M616" i="11" s="1"/>
  <c r="L326" i="11"/>
  <c r="M326" i="11" s="1"/>
  <c r="L264" i="11"/>
  <c r="M264" i="11" s="1"/>
  <c r="L693" i="11"/>
  <c r="M693" i="11" s="1"/>
  <c r="L43" i="11"/>
  <c r="M43" i="11" s="1"/>
  <c r="L579" i="11"/>
  <c r="M579" i="11" s="1"/>
  <c r="L668" i="11"/>
  <c r="M668" i="11" s="1"/>
  <c r="L83" i="11"/>
  <c r="M83" i="11" s="1"/>
  <c r="L743" i="11"/>
  <c r="M743" i="11" s="1"/>
  <c r="L752" i="11"/>
  <c r="M752" i="11" s="1"/>
  <c r="L101" i="11"/>
  <c r="M101" i="11" s="1"/>
  <c r="L259" i="11"/>
  <c r="M259" i="11" s="1"/>
  <c r="L551" i="11"/>
  <c r="M551" i="11" s="1"/>
  <c r="L11" i="11"/>
  <c r="M11" i="11" s="1"/>
  <c r="L35" i="11"/>
  <c r="M35" i="11" s="1"/>
  <c r="L614" i="11"/>
  <c r="M614" i="11" s="1"/>
  <c r="L229" i="11"/>
  <c r="M229" i="11" s="1"/>
  <c r="L475" i="11"/>
  <c r="M475" i="11" s="1"/>
  <c r="L213" i="11"/>
  <c r="M213" i="11" s="1"/>
  <c r="L108" i="11"/>
  <c r="M108" i="11" s="1"/>
  <c r="L295" i="11"/>
  <c r="M295" i="11" s="1"/>
  <c r="L10" i="11"/>
  <c r="M10" i="11" s="1"/>
  <c r="L664" i="11"/>
  <c r="M664" i="11" s="1"/>
  <c r="L760" i="11"/>
  <c r="M760" i="11" s="1"/>
  <c r="L112" i="11"/>
  <c r="M112" i="11" s="1"/>
  <c r="L293" i="11"/>
  <c r="M293" i="11" s="1"/>
  <c r="L550" i="11"/>
  <c r="M550" i="11" s="1"/>
  <c r="L202" i="11"/>
  <c r="M202" i="11" s="1"/>
  <c r="L46" i="11"/>
  <c r="M46" i="11" s="1"/>
  <c r="L136" i="11"/>
  <c r="M136" i="11" s="1"/>
  <c r="L239" i="11"/>
  <c r="M239" i="11" s="1"/>
  <c r="L439" i="11"/>
  <c r="M439" i="11" s="1"/>
  <c r="L702" i="11"/>
  <c r="M702" i="11" s="1"/>
  <c r="L288" i="11"/>
  <c r="M288" i="11" s="1"/>
  <c r="L624" i="11"/>
  <c r="M624" i="11" s="1"/>
  <c r="L568" i="11"/>
  <c r="M568" i="11" s="1"/>
  <c r="L19" i="11"/>
  <c r="M19" i="11" s="1"/>
  <c r="L553" i="11"/>
  <c r="M553" i="11" s="1"/>
  <c r="L704" i="11"/>
  <c r="M704" i="11" s="1"/>
  <c r="L590" i="11"/>
  <c r="M590" i="11" s="1"/>
  <c r="L401" i="11"/>
  <c r="M401" i="11" s="1"/>
  <c r="L60" i="11"/>
  <c r="M60" i="11" s="1"/>
  <c r="L520" i="11"/>
  <c r="M520" i="11" s="1"/>
  <c r="L518" i="11"/>
  <c r="M518" i="11" s="1"/>
  <c r="L403" i="11"/>
  <c r="M403" i="11" s="1"/>
  <c r="L235" i="11"/>
  <c r="M235" i="11" s="1"/>
  <c r="L250" i="11"/>
  <c r="M250" i="11" s="1"/>
  <c r="L521" i="11"/>
  <c r="M521" i="11" s="1"/>
  <c r="L712" i="11"/>
  <c r="M712" i="11" s="1"/>
  <c r="L382" i="11"/>
  <c r="M382" i="11" s="1"/>
  <c r="L30" i="11"/>
  <c r="M30" i="11" s="1"/>
  <c r="L548" i="11"/>
  <c r="M548" i="11" s="1"/>
  <c r="L643" i="11"/>
  <c r="M643" i="11" s="1"/>
  <c r="L631" i="11"/>
  <c r="M631" i="11" s="1"/>
  <c r="L322" i="11"/>
  <c r="M322" i="11" s="1"/>
  <c r="L334" i="11"/>
  <c r="M334" i="11" s="1"/>
  <c r="L104" i="11"/>
  <c r="M104" i="11" s="1"/>
  <c r="L558" i="11"/>
  <c r="M558" i="11" s="1"/>
  <c r="L435" i="11"/>
  <c r="M435" i="11" s="1"/>
  <c r="L278" i="11"/>
  <c r="M278" i="11" s="1"/>
  <c r="L472" i="11"/>
  <c r="M472" i="11" s="1"/>
  <c r="L455" i="11"/>
  <c r="M455" i="11" s="1"/>
  <c r="L739" i="11"/>
  <c r="M739" i="11" s="1"/>
  <c r="L733" i="11"/>
  <c r="M733" i="11" s="1"/>
  <c r="L585" i="11"/>
  <c r="M585" i="11" s="1"/>
  <c r="L261" i="11"/>
  <c r="M261" i="11" s="1"/>
  <c r="L175" i="11"/>
  <c r="M175" i="11" s="1"/>
  <c r="L214" i="11"/>
  <c r="M214" i="11" s="1"/>
  <c r="L726" i="11"/>
  <c r="M726" i="11" s="1"/>
  <c r="L106" i="11"/>
  <c r="M106" i="11" s="1"/>
  <c r="L659" i="11"/>
  <c r="M659" i="11" s="1"/>
  <c r="L262" i="11"/>
  <c r="M262" i="11" s="1"/>
  <c r="L490" i="11"/>
  <c r="M490" i="11" s="1"/>
  <c r="L201" i="11"/>
  <c r="M201" i="11" s="1"/>
  <c r="L419" i="11"/>
  <c r="M419" i="11" s="1"/>
  <c r="L764" i="11"/>
  <c r="M764" i="11" s="1"/>
  <c r="L117" i="11"/>
  <c r="M117" i="11" s="1"/>
  <c r="L588" i="11"/>
  <c r="M588" i="11" s="1"/>
  <c r="L411" i="11"/>
  <c r="M411" i="11" s="1"/>
  <c r="L508" i="11"/>
  <c r="M508" i="11" s="1"/>
  <c r="L671" i="11"/>
  <c r="M671" i="11" s="1"/>
  <c r="L420" i="11"/>
  <c r="M420" i="11" s="1"/>
  <c r="L458" i="11"/>
  <c r="M458" i="11" s="1"/>
  <c r="L187" i="11"/>
  <c r="M187" i="11" s="1"/>
  <c r="L661" i="11"/>
  <c r="M661" i="11" s="1"/>
  <c r="L123" i="11"/>
  <c r="M123" i="11" s="1"/>
  <c r="L155" i="11"/>
  <c r="M155" i="11" s="1"/>
  <c r="L404" i="11"/>
  <c r="M404" i="11" s="1"/>
  <c r="L12" i="11"/>
  <c r="M12" i="11" s="1"/>
  <c r="L314" i="11"/>
  <c r="M314" i="11" s="1"/>
  <c r="L94" i="11"/>
  <c r="M94" i="11" s="1"/>
  <c r="L581" i="11"/>
  <c r="M581" i="11" s="1"/>
  <c r="L245" i="11"/>
  <c r="M245" i="11" s="1"/>
  <c r="L217" i="11"/>
  <c r="M217" i="11" s="1"/>
  <c r="L114" i="11"/>
  <c r="M114" i="11" s="1"/>
  <c r="L21" i="11"/>
  <c r="M21" i="11" s="1"/>
  <c r="L306" i="11"/>
  <c r="M306" i="11" s="1"/>
  <c r="L189" i="11"/>
  <c r="M189" i="11" s="1"/>
  <c r="L167" i="11"/>
  <c r="M167" i="11" s="1"/>
  <c r="L335" i="11"/>
  <c r="M335" i="11" s="1"/>
  <c r="L172" i="11"/>
  <c r="M172" i="11" s="1"/>
  <c r="L569" i="11"/>
  <c r="M569" i="11" s="1"/>
  <c r="L639" i="11"/>
  <c r="M639" i="11" s="1"/>
  <c r="L31" i="11"/>
  <c r="M31" i="11" s="1"/>
  <c r="L595" i="11"/>
  <c r="M595" i="11" s="1"/>
  <c r="L158" i="11"/>
  <c r="M158" i="11" s="1"/>
  <c r="L72" i="11"/>
  <c r="M72" i="11" s="1"/>
  <c r="L50" i="11"/>
  <c r="M50" i="11" s="1"/>
  <c r="L180" i="11"/>
  <c r="M180" i="11" s="1"/>
  <c r="L750" i="11"/>
  <c r="M750" i="11" s="1"/>
  <c r="L437" i="11"/>
  <c r="M437" i="11" s="1"/>
  <c r="L687" i="11"/>
  <c r="M687" i="11" s="1"/>
  <c r="L467" i="11"/>
  <c r="M467" i="11" s="1"/>
  <c r="L410" i="11"/>
  <c r="M410" i="11" s="1"/>
  <c r="L470" i="11"/>
  <c r="M470" i="11" s="1"/>
  <c r="L247" i="11"/>
  <c r="M247" i="11" s="1"/>
  <c r="L765" i="11"/>
  <c r="M765" i="11" s="1"/>
  <c r="L204" i="11"/>
  <c r="M204" i="11" s="1"/>
  <c r="L6" i="11"/>
  <c r="M6" i="11" s="1"/>
  <c r="L542" i="11"/>
  <c r="M542" i="11" s="1"/>
  <c r="L452" i="11"/>
  <c r="M452" i="11" s="1"/>
  <c r="L646" i="11"/>
  <c r="M646" i="11" s="1"/>
  <c r="L79" i="11"/>
  <c r="M79" i="11" s="1"/>
  <c r="L672" i="11"/>
  <c r="M672" i="11" s="1"/>
  <c r="L528" i="11"/>
  <c r="M528" i="11" s="1"/>
  <c r="L178" i="11"/>
  <c r="M178" i="11" s="1"/>
  <c r="L547" i="11"/>
  <c r="M547" i="11" s="1"/>
  <c r="L308" i="11"/>
  <c r="M308" i="11" s="1"/>
  <c r="L357" i="11"/>
  <c r="M357" i="11" s="1"/>
  <c r="L681" i="11"/>
  <c r="M681" i="11" s="1"/>
  <c r="L589" i="11"/>
  <c r="M589" i="11" s="1"/>
  <c r="L396" i="11"/>
  <c r="M396" i="11" s="1"/>
  <c r="L109" i="11"/>
  <c r="M109" i="11" s="1"/>
  <c r="L591" i="11"/>
  <c r="M591" i="11" s="1"/>
  <c r="L219" i="11"/>
  <c r="M219" i="11" s="1"/>
  <c r="L684" i="11"/>
  <c r="M684" i="11" s="1"/>
  <c r="L188" i="11"/>
  <c r="M188" i="11" s="1"/>
  <c r="L9" i="11"/>
  <c r="M9" i="11" s="1"/>
  <c r="L193" i="11"/>
  <c r="M193" i="11" s="1"/>
  <c r="L474" i="11"/>
  <c r="M474" i="11" s="1"/>
  <c r="L285" i="11"/>
  <c r="M285" i="11" s="1"/>
  <c r="L298" i="11"/>
  <c r="M298" i="11" s="1"/>
  <c r="L323" i="11"/>
  <c r="M323" i="11" s="1"/>
  <c r="L133" i="11"/>
  <c r="M133" i="11" s="1"/>
  <c r="L181" i="11"/>
  <c r="M181" i="11" s="1"/>
  <c r="L373" i="11"/>
  <c r="M373" i="11" s="1"/>
  <c r="L372" i="11"/>
  <c r="M372" i="11" s="1"/>
  <c r="L313" i="11"/>
  <c r="M313" i="11" s="1"/>
  <c r="L686" i="11"/>
  <c r="M686" i="11" s="1"/>
  <c r="L346" i="11"/>
  <c r="M346" i="11" s="1"/>
  <c r="L708" i="11"/>
  <c r="M708" i="11" s="1"/>
  <c r="L347" i="11"/>
  <c r="M347" i="11" s="1"/>
  <c r="L398" i="11"/>
  <c r="M398" i="11" s="1"/>
  <c r="L660" i="11"/>
  <c r="M660" i="11" s="1"/>
  <c r="L554" i="11"/>
  <c r="M554" i="11" s="1"/>
  <c r="L617" i="11"/>
  <c r="M617" i="11" s="1"/>
  <c r="L529" i="11"/>
  <c r="M529" i="11" s="1"/>
  <c r="L56" i="11"/>
  <c r="M56" i="11" s="1"/>
  <c r="L27" i="11"/>
  <c r="M27" i="11" s="1"/>
  <c r="L545" i="11"/>
  <c r="M545" i="11" s="1"/>
  <c r="L618" i="11"/>
  <c r="M618" i="11" s="1"/>
  <c r="L139" i="11"/>
  <c r="M139" i="11" s="1"/>
  <c r="L47" i="11"/>
  <c r="M47" i="11" s="1"/>
  <c r="L146" i="11"/>
  <c r="M146" i="11" s="1"/>
  <c r="L370" i="11"/>
  <c r="M370" i="11" s="1"/>
  <c r="L223" i="11"/>
  <c r="M223" i="11" s="1"/>
  <c r="L71" i="11"/>
  <c r="M71" i="11" s="1"/>
  <c r="L169" i="11"/>
  <c r="M169" i="11" s="1"/>
  <c r="L532" i="11"/>
  <c r="M532" i="11" s="1"/>
  <c r="L640" i="11"/>
  <c r="M640" i="11" s="1"/>
  <c r="L486" i="11"/>
  <c r="M486" i="11" s="1"/>
  <c r="L578" i="11"/>
  <c r="M578" i="11" s="1"/>
  <c r="L392" i="11"/>
  <c r="M392" i="11" s="1"/>
  <c r="L633" i="11"/>
  <c r="M633" i="11" s="1"/>
  <c r="L303" i="11"/>
  <c r="M303" i="11" s="1"/>
  <c r="L603" i="11"/>
  <c r="M603" i="11" s="1"/>
  <c r="L638" i="11"/>
  <c r="M638" i="11" s="1"/>
  <c r="L721" i="11"/>
  <c r="M721" i="11" s="1"/>
  <c r="L507" i="11"/>
  <c r="M507" i="11" s="1"/>
  <c r="L717" i="11"/>
  <c r="M717" i="11" s="1"/>
  <c r="L690" i="11"/>
  <c r="M690" i="11" s="1"/>
  <c r="L75" i="11"/>
  <c r="M75" i="11" s="1"/>
  <c r="L220" i="11"/>
  <c r="M220" i="11" s="1"/>
  <c r="L337" i="11"/>
  <c r="M337" i="11" s="1"/>
  <c r="L369" i="11"/>
  <c r="M369" i="11" s="1"/>
  <c r="L350" i="11"/>
  <c r="M350" i="11" s="1"/>
  <c r="L696" i="11"/>
  <c r="M696" i="11" s="1"/>
  <c r="L408" i="11"/>
  <c r="M408" i="11" s="1"/>
  <c r="L273" i="11"/>
  <c r="M273" i="11" s="1"/>
  <c r="L625" i="11"/>
  <c r="M625" i="11" s="1"/>
  <c r="L613" i="11"/>
  <c r="M613" i="11" s="1"/>
  <c r="L706" i="11"/>
  <c r="M706" i="11" s="1"/>
  <c r="L727" i="11"/>
  <c r="M727" i="11" s="1"/>
  <c r="L393" i="11"/>
  <c r="M393" i="11" s="1"/>
  <c r="L160" i="11"/>
  <c r="M160" i="11" s="1"/>
  <c r="L492" i="11"/>
  <c r="M492" i="11" s="1"/>
  <c r="L281" i="11"/>
  <c r="M281" i="11" s="1"/>
  <c r="L657" i="11"/>
  <c r="M657" i="11" s="1"/>
  <c r="L144" i="11"/>
  <c r="M144" i="11" s="1"/>
  <c r="L283" i="11"/>
  <c r="M283" i="11" s="1"/>
  <c r="L149" i="11"/>
  <c r="M149" i="11" s="1"/>
  <c r="L576" i="11"/>
  <c r="M576" i="11" s="1"/>
  <c r="L629" i="11"/>
  <c r="M629" i="11" s="1"/>
  <c r="L17" i="11"/>
  <c r="M17" i="11" s="1"/>
  <c r="L716" i="11"/>
  <c r="M716" i="11" s="1"/>
  <c r="L583" i="11"/>
  <c r="M583" i="11" s="1"/>
  <c r="L606" i="11"/>
  <c r="M606" i="11" s="1"/>
  <c r="L511" i="11"/>
  <c r="M511" i="11" s="1"/>
  <c r="L431" i="11"/>
  <c r="M431" i="11" s="1"/>
  <c r="L737" i="11"/>
  <c r="M737" i="11" s="1"/>
  <c r="L67" i="11"/>
  <c r="M67" i="11" s="1"/>
  <c r="L615" i="11"/>
  <c r="M615" i="11" s="1"/>
  <c r="L481" i="11"/>
  <c r="M481" i="11" s="1"/>
  <c r="L95" i="11"/>
  <c r="M95" i="11" s="1"/>
  <c r="L218" i="11"/>
  <c r="M218" i="11" s="1"/>
  <c r="L98" i="11"/>
  <c r="M98" i="11" s="1"/>
  <c r="L596" i="11"/>
  <c r="M596" i="11" s="1"/>
  <c r="L465" i="11"/>
  <c r="M465" i="11" s="1"/>
  <c r="L174" i="11"/>
  <c r="M174" i="11" s="1"/>
  <c r="L286" i="11"/>
  <c r="M286" i="11" s="1"/>
  <c r="L730" i="11"/>
  <c r="M730" i="11" s="1"/>
  <c r="L406" i="11"/>
  <c r="M406" i="11" s="1"/>
  <c r="L597" i="11"/>
  <c r="M597" i="11" s="1"/>
  <c r="L421" i="11"/>
  <c r="M421" i="11" s="1"/>
  <c r="L386" i="11"/>
  <c r="M386" i="11" s="1"/>
  <c r="L255" i="11"/>
  <c r="M255" i="11" s="1"/>
  <c r="L430" i="11"/>
  <c r="M430" i="11" s="1"/>
  <c r="L587" i="11"/>
  <c r="M587" i="11" s="1"/>
  <c r="L236" i="11"/>
  <c r="M236" i="11" s="1"/>
  <c r="L713" i="11"/>
  <c r="M713" i="11" s="1"/>
  <c r="L536" i="11"/>
  <c r="M536" i="11" s="1"/>
  <c r="L488" i="11"/>
  <c r="M488" i="11" s="1"/>
  <c r="L309" i="11"/>
  <c r="M309" i="11" s="1"/>
  <c r="L147" i="11"/>
  <c r="M147" i="11" s="1"/>
  <c r="L448" i="11"/>
  <c r="M448" i="11" s="1"/>
  <c r="L674" i="11"/>
  <c r="M674" i="11" s="1"/>
  <c r="L265" i="11"/>
  <c r="M265" i="11" s="1"/>
  <c r="L299" i="11"/>
  <c r="M299" i="11" s="1"/>
  <c r="L37" i="11"/>
  <c r="M37" i="11" s="1"/>
  <c r="L656" i="11"/>
  <c r="M656" i="11" s="1"/>
  <c r="L755" i="11"/>
  <c r="M755" i="11" s="1"/>
  <c r="L51" i="11"/>
  <c r="M51" i="11" s="1"/>
  <c r="L268" i="11"/>
  <c r="M268" i="11" s="1"/>
  <c r="L224" i="11"/>
  <c r="M224" i="11" s="1"/>
  <c r="L471" i="11"/>
  <c r="M471" i="11" s="1"/>
  <c r="L210" i="11"/>
  <c r="M210" i="11" s="1"/>
  <c r="L773" i="11"/>
  <c r="M773" i="11" s="1"/>
  <c r="L141" i="11"/>
  <c r="M141" i="11" s="1"/>
  <c r="L16" i="11"/>
  <c r="M16" i="11" s="1"/>
  <c r="L423" i="11"/>
  <c r="M423" i="11" s="1"/>
  <c r="L287" i="11"/>
  <c r="M287" i="11" s="1"/>
  <c r="L759" i="11"/>
  <c r="M759" i="11" s="1"/>
  <c r="L501" i="11"/>
  <c r="M501" i="11" s="1"/>
  <c r="L130" i="11"/>
  <c r="M130" i="11" s="1"/>
  <c r="L338" i="11"/>
  <c r="M338" i="11" s="1"/>
  <c r="L159" i="11"/>
  <c r="M159" i="11" s="1"/>
  <c r="L495" i="11"/>
  <c r="M495" i="11" s="1"/>
  <c r="L389" i="11"/>
  <c r="M389" i="11" s="1"/>
  <c r="L592" i="11"/>
  <c r="M592" i="11" s="1"/>
  <c r="L504" i="11"/>
  <c r="M504" i="11" s="1"/>
  <c r="L647" i="11"/>
  <c r="M647" i="11" s="1"/>
  <c r="L88" i="11"/>
  <c r="M88" i="11" s="1"/>
  <c r="L459" i="11"/>
  <c r="M459" i="11" s="1"/>
  <c r="L601" i="11"/>
  <c r="M601" i="11" s="1"/>
  <c r="L394" i="11"/>
  <c r="M394" i="11" s="1"/>
  <c r="L751" i="11"/>
  <c r="M751" i="11" s="1"/>
  <c r="L498" i="11"/>
  <c r="M498" i="11" s="1"/>
  <c r="L493" i="11"/>
  <c r="M493" i="11" s="1"/>
  <c r="L122" i="11"/>
  <c r="M122" i="11" s="1"/>
  <c r="L466" i="11"/>
  <c r="M466" i="11" s="1"/>
  <c r="L367" i="11"/>
  <c r="M367" i="11" s="1"/>
  <c r="L723" i="11"/>
  <c r="M723" i="11" s="1"/>
  <c r="L226" i="11"/>
  <c r="M226" i="11" s="1"/>
  <c r="L546" i="11"/>
  <c r="M546" i="11" s="1"/>
  <c r="L654" i="11"/>
  <c r="M654" i="11" s="1"/>
  <c r="L271" i="11"/>
  <c r="M271" i="11" s="1"/>
  <c r="L628" i="11"/>
  <c r="M628" i="11" s="1"/>
  <c r="L705" i="11"/>
  <c r="M705" i="11" s="1"/>
  <c r="L257" i="11"/>
  <c r="M257" i="11" s="1"/>
  <c r="L332" i="11"/>
  <c r="M332" i="11" s="1"/>
  <c r="L267" i="11"/>
  <c r="M267" i="11" s="1"/>
  <c r="L729" i="11"/>
  <c r="M729" i="11" s="1"/>
  <c r="L380" i="11"/>
  <c r="M380" i="11" s="1"/>
  <c r="L345" i="11"/>
  <c r="M345" i="11" s="1"/>
  <c r="L756" i="11"/>
  <c r="M756" i="11" s="1"/>
  <c r="L15" i="11"/>
  <c r="M15" i="11" s="1"/>
  <c r="L164" i="11"/>
  <c r="M164" i="11" s="1"/>
  <c r="L761" i="11"/>
  <c r="M761" i="11" s="1"/>
  <c r="L395" i="11"/>
  <c r="M395" i="11" s="1"/>
  <c r="L36" i="11"/>
  <c r="M36" i="11" s="1"/>
  <c r="L127" i="11"/>
  <c r="M127" i="11" s="1"/>
  <c r="L77" i="11"/>
  <c r="M77" i="11" s="1"/>
  <c r="L311" i="11"/>
  <c r="M311" i="11" s="1"/>
  <c r="L294" i="11"/>
  <c r="M294" i="11" s="1"/>
  <c r="L744" i="11"/>
  <c r="M744" i="11" s="1"/>
  <c r="L669" i="11"/>
  <c r="M669" i="11" s="1"/>
  <c r="L682" i="11"/>
  <c r="M682" i="11" s="1"/>
  <c r="L45" i="11"/>
  <c r="M45" i="11" s="1"/>
  <c r="L478" i="11"/>
  <c r="M478" i="11" s="1"/>
  <c r="L533" i="11"/>
  <c r="M533" i="11" s="1"/>
  <c r="L670" i="11"/>
  <c r="M670" i="11" s="1"/>
  <c r="L447" i="11"/>
  <c r="M447" i="11" s="1"/>
  <c r="L40" i="11"/>
  <c r="M40" i="11" s="1"/>
  <c r="L212" i="11"/>
  <c r="M212" i="11" s="1"/>
  <c r="L635" i="11"/>
  <c r="M635" i="11" s="1"/>
  <c r="L91" i="11"/>
  <c r="M91" i="11" s="1"/>
  <c r="L526" i="11"/>
  <c r="M526" i="11" s="1"/>
  <c r="L736" i="11"/>
  <c r="M736" i="11" s="1"/>
  <c r="L352" i="11"/>
  <c r="M352" i="11" s="1"/>
  <c r="L336" i="11"/>
  <c r="M336" i="11" s="1"/>
  <c r="L424" i="11"/>
  <c r="M424" i="11" s="1"/>
  <c r="L594" i="11"/>
  <c r="M594" i="11" s="1"/>
  <c r="L413" i="11"/>
  <c r="M413" i="11" s="1"/>
  <c r="L468" i="11"/>
  <c r="M468" i="11" s="1"/>
  <c r="L23" i="11"/>
  <c r="M23" i="11" s="1"/>
  <c r="L84" i="11"/>
  <c r="M84" i="11" s="1"/>
  <c r="L182" i="11"/>
  <c r="M182" i="11" s="1"/>
  <c r="L324" i="11"/>
  <c r="M324" i="11" s="1"/>
  <c r="L246" i="11"/>
  <c r="M246" i="11" s="1"/>
  <c r="L54" i="11"/>
  <c r="M54" i="11" s="1"/>
  <c r="L68" i="11"/>
  <c r="M68" i="11" s="1"/>
  <c r="L82" i="11"/>
  <c r="M82" i="11" s="1"/>
  <c r="L637" i="11"/>
  <c r="M637" i="11" s="1"/>
  <c r="L399" i="11"/>
  <c r="M399" i="11" s="1"/>
  <c r="L356" i="11"/>
  <c r="M356" i="11" s="1"/>
  <c r="L93" i="11"/>
  <c r="M93" i="11" s="1"/>
  <c r="L328" i="11"/>
  <c r="M328" i="11" s="1"/>
  <c r="L722" i="11"/>
  <c r="M722" i="11" s="1"/>
  <c r="L414" i="11"/>
  <c r="M414" i="11" s="1"/>
  <c r="L469" i="11"/>
  <c r="M469" i="11" s="1"/>
  <c r="L749" i="11"/>
  <c r="M749" i="11" s="1"/>
  <c r="L142" i="11"/>
  <c r="M142" i="11" s="1"/>
  <c r="L301" i="11"/>
  <c r="M301" i="11" s="1"/>
  <c r="L565" i="11"/>
  <c r="M565" i="11" s="1"/>
  <c r="L621" i="11"/>
  <c r="M621" i="11" s="1"/>
  <c r="L446" i="11"/>
  <c r="M446" i="11" s="1"/>
  <c r="L113" i="11"/>
  <c r="M113" i="11" s="1"/>
  <c r="L190" i="11"/>
  <c r="M190" i="11" s="1"/>
  <c r="L343" i="11"/>
  <c r="M343" i="11" s="1"/>
  <c r="L241" i="11"/>
  <c r="M241" i="11" s="1"/>
  <c r="L118" i="11"/>
  <c r="M118" i="11" s="1"/>
  <c r="L434" i="11"/>
  <c r="M434" i="11" s="1"/>
  <c r="L140" i="11"/>
  <c r="M140" i="11" s="1"/>
  <c r="L105" i="11"/>
  <c r="M105" i="11" s="1"/>
  <c r="L177" i="11"/>
  <c r="M177" i="11" s="1"/>
  <c r="L184" i="11"/>
  <c r="M184" i="11" s="1"/>
  <c r="L483" i="11"/>
  <c r="M483" i="11" s="1"/>
  <c r="L320" i="11"/>
  <c r="M320" i="11" s="1"/>
  <c r="L205" i="11"/>
  <c r="M205" i="11" s="1"/>
  <c r="L161" i="11"/>
  <c r="M161" i="11" s="1"/>
  <c r="L52" i="11"/>
  <c r="M52" i="11" s="1"/>
  <c r="L66" i="11"/>
  <c r="M66" i="11" s="1"/>
  <c r="L505" i="11"/>
  <c r="M505" i="11" s="1"/>
  <c r="L714" i="11"/>
  <c r="M714" i="11" s="1"/>
  <c r="L561" i="11"/>
  <c r="M561" i="11" s="1"/>
  <c r="L371" i="11"/>
  <c r="M371" i="11" s="1"/>
  <c r="L769" i="11"/>
  <c r="M769" i="11" s="1"/>
  <c r="L479" i="11"/>
  <c r="M479" i="11" s="1"/>
  <c r="L353" i="11"/>
  <c r="M353" i="11" s="1"/>
  <c r="L132" i="11"/>
  <c r="M132" i="11" s="1"/>
  <c r="L441" i="11"/>
  <c r="M441" i="11" s="1"/>
  <c r="L53" i="11"/>
  <c r="M53" i="11" s="1"/>
  <c r="L216" i="11"/>
  <c r="M216" i="11" s="1"/>
  <c r="L407" i="11"/>
  <c r="M407" i="11" s="1"/>
  <c r="L331" i="11"/>
  <c r="M331" i="11" s="1"/>
  <c r="L85" i="11"/>
  <c r="M85" i="11" s="1"/>
  <c r="L701" i="11"/>
  <c r="M701" i="11" s="1"/>
  <c r="L709" i="11"/>
  <c r="M709" i="11" s="1"/>
  <c r="L162" i="11"/>
  <c r="M162" i="11" s="1"/>
  <c r="L645" i="11"/>
  <c r="M645" i="11" s="1"/>
  <c r="L482" i="11"/>
  <c r="M482" i="11" s="1"/>
  <c r="L349" i="11"/>
  <c r="M349" i="11" s="1"/>
  <c r="L679" i="11"/>
  <c r="M679" i="11" s="1"/>
  <c r="L157" i="11"/>
  <c r="M157" i="11" s="1"/>
  <c r="L231" i="11"/>
  <c r="M231" i="11" s="1"/>
  <c r="L131" i="11"/>
  <c r="M131" i="11" s="1"/>
  <c r="L351" i="11"/>
  <c r="M351" i="11" s="1"/>
  <c r="L232" i="11"/>
  <c r="M232" i="11" s="1"/>
  <c r="L179" i="11"/>
  <c r="M179" i="11" s="1"/>
  <c r="L87" i="11"/>
  <c r="M87" i="11" s="1"/>
  <c r="L89" i="11"/>
  <c r="M89" i="11" s="1"/>
  <c r="L517" i="11"/>
  <c r="M517" i="11" s="1"/>
  <c r="L497" i="11"/>
  <c r="M497" i="11" s="1"/>
  <c r="L20" i="11"/>
  <c r="M20" i="11" s="1"/>
  <c r="L502" i="11"/>
  <c r="M502" i="11" s="1"/>
  <c r="L571" i="11"/>
  <c r="M571" i="11" s="1"/>
  <c r="L715" i="11"/>
  <c r="M715" i="11" s="1"/>
  <c r="L176" i="11"/>
  <c r="M176" i="11" s="1"/>
  <c r="L171" i="11"/>
  <c r="M171" i="11" s="1"/>
  <c r="L432" i="11"/>
  <c r="M432" i="11" s="1"/>
  <c r="L44" i="11"/>
  <c r="M44" i="11" s="1"/>
  <c r="L198" i="11"/>
  <c r="M198" i="11" s="1"/>
  <c r="L138" i="11"/>
  <c r="M138" i="11" s="1"/>
  <c r="L62" i="11"/>
  <c r="M62" i="11" s="1"/>
  <c r="L375" i="11"/>
  <c r="M375" i="11" s="1"/>
  <c r="L699" i="11"/>
  <c r="M699" i="11" s="1"/>
  <c r="L143" i="11"/>
  <c r="M143" i="11" s="1"/>
  <c r="L768" i="11"/>
  <c r="M768" i="11" s="1"/>
  <c r="L644" i="11"/>
  <c r="M644" i="11" s="1"/>
  <c r="L252" i="11"/>
  <c r="M252" i="11" s="1"/>
  <c r="L145" i="11"/>
  <c r="M145" i="11" s="1"/>
  <c r="L612" i="11"/>
  <c r="M612" i="11" s="1"/>
  <c r="L225" i="11"/>
  <c r="M225" i="11" s="1"/>
  <c r="L538" i="11"/>
  <c r="M538" i="11" s="1"/>
  <c r="L284" i="11"/>
  <c r="M284" i="11" s="1"/>
  <c r="L13" i="11"/>
  <c r="M13" i="11" s="1"/>
  <c r="L570" i="11"/>
  <c r="M570" i="11" s="1"/>
  <c r="L59" i="11"/>
  <c r="M59" i="11" s="1"/>
  <c r="L418" i="11"/>
  <c r="M418" i="11" s="1"/>
  <c r="L623" i="11"/>
  <c r="M623" i="11" s="1"/>
  <c r="L770" i="11"/>
  <c r="M770" i="11" s="1"/>
  <c r="L409" i="11"/>
  <c r="M409" i="11" s="1"/>
  <c r="L330" i="11"/>
  <c r="M330" i="11" s="1"/>
  <c r="L772" i="11"/>
  <c r="M772" i="11" s="1"/>
  <c r="L494" i="11"/>
  <c r="M494" i="11" s="1"/>
  <c r="L365" i="11"/>
  <c r="M365" i="11" s="1"/>
  <c r="L484" i="11"/>
  <c r="M484" i="11" s="1"/>
  <c r="L342" i="11"/>
  <c r="M342" i="11" s="1"/>
  <c r="L523" i="11"/>
  <c r="M523" i="11" s="1"/>
  <c r="L354" i="11"/>
  <c r="M354" i="11" s="1"/>
  <c r="L522" i="11"/>
  <c r="M522" i="11" s="1"/>
  <c r="L658" i="11"/>
  <c r="M658" i="11" s="1"/>
  <c r="L385" i="11"/>
  <c r="M385" i="11" s="1"/>
  <c r="L675" i="11"/>
  <c r="M675" i="11" s="1"/>
  <c r="L436" i="11"/>
  <c r="M436" i="11" s="1"/>
  <c r="L99" i="11"/>
  <c r="M99" i="11" s="1"/>
  <c r="L535" i="11"/>
  <c r="M535" i="11" s="1"/>
  <c r="L560" i="11"/>
  <c r="M560" i="11" s="1"/>
  <c r="L185" i="11"/>
  <c r="M185" i="11" s="1"/>
  <c r="L540" i="11"/>
  <c r="M540" i="11" s="1"/>
  <c r="L379" i="11"/>
  <c r="M379" i="11" s="1"/>
  <c r="L747" i="11"/>
  <c r="M747" i="11" s="1"/>
  <c r="L450" i="11"/>
  <c r="M450" i="11" s="1"/>
  <c r="L718" i="11"/>
  <c r="M718" i="11" s="1"/>
  <c r="L378" i="11"/>
  <c r="M378" i="11" s="1"/>
  <c r="L242" i="11"/>
  <c r="M242" i="11" s="1"/>
  <c r="L745" i="11"/>
  <c r="M745" i="11" s="1"/>
  <c r="L610" i="11"/>
  <c r="M610" i="11" s="1"/>
  <c r="L534" i="11"/>
  <c r="M534" i="11" s="1"/>
  <c r="L544" i="11"/>
  <c r="M544" i="11" s="1"/>
  <c r="L296" i="11"/>
  <c r="M296" i="11" s="1"/>
  <c r="L741" i="11"/>
  <c r="M741" i="11" s="1"/>
  <c r="L312" i="11"/>
  <c r="M312" i="11" s="1"/>
  <c r="L70" i="11"/>
  <c r="M70" i="11" s="1"/>
  <c r="L97" i="11"/>
  <c r="M97" i="11" s="1"/>
  <c r="L642" i="11"/>
  <c r="M642" i="11" s="1"/>
  <c r="L753" i="11"/>
  <c r="M753" i="11" s="1"/>
  <c r="L462" i="11"/>
  <c r="M462" i="11" s="1"/>
  <c r="L697" i="11"/>
  <c r="M697" i="11" s="1"/>
  <c r="L622" i="11"/>
  <c r="M622" i="11" s="1"/>
  <c r="L100" i="11"/>
  <c r="M100" i="11" s="1"/>
  <c r="L673" i="11"/>
  <c r="M673" i="11" s="1"/>
  <c r="L480" i="11"/>
  <c r="M480" i="11" s="1"/>
  <c r="L460" i="11"/>
  <c r="M460" i="11" s="1"/>
  <c r="L748" i="11"/>
  <c r="M748" i="11" s="1"/>
  <c r="L199" i="11"/>
  <c r="M199" i="11" s="1"/>
  <c r="L237" i="11"/>
  <c r="M237" i="11" s="1"/>
  <c r="L549" i="11"/>
  <c r="M549" i="11" s="1"/>
  <c r="L422" i="11"/>
  <c r="M422" i="11" s="1"/>
  <c r="L319" i="11"/>
  <c r="M319" i="11" s="1"/>
  <c r="L720" i="11"/>
  <c r="M720" i="11" s="1"/>
  <c r="L233" i="11"/>
  <c r="M233" i="11" s="1"/>
  <c r="L598" i="11"/>
  <c r="M598" i="11" s="1"/>
  <c r="L731" i="11"/>
  <c r="M731" i="11" s="1"/>
  <c r="L238" i="11"/>
  <c r="M238" i="11" s="1"/>
  <c r="L292" i="11"/>
  <c r="M292" i="11" s="1"/>
  <c r="L152" i="11"/>
  <c r="M152" i="11" s="1"/>
  <c r="L32" i="11"/>
  <c r="M32" i="11" s="1"/>
  <c r="L8" i="11"/>
  <c r="M8" i="11" s="1"/>
  <c r="L154" i="11"/>
  <c r="M154" i="11" s="1"/>
  <c r="L630" i="11"/>
  <c r="M630" i="11" s="1"/>
  <c r="L170" i="11"/>
  <c r="M170" i="11" s="1"/>
  <c r="L464" i="11"/>
  <c r="M464" i="11" s="1"/>
  <c r="L151" i="11"/>
  <c r="M151" i="11" s="1"/>
  <c r="L473" i="11"/>
  <c r="M473" i="11" s="1"/>
  <c r="L539" i="11"/>
  <c r="M539" i="11" s="1"/>
  <c r="L649" i="11"/>
  <c r="M649" i="11" s="1"/>
  <c r="L116" i="11"/>
  <c r="M116" i="11" s="1"/>
  <c r="L491" i="11"/>
  <c r="M491" i="11" s="1"/>
  <c r="L724" i="11"/>
  <c r="M724" i="11" s="1"/>
  <c r="L120" i="11"/>
  <c r="M120" i="11" s="1"/>
  <c r="L358" i="11"/>
  <c r="M358" i="11" s="1"/>
  <c r="L626" i="11"/>
  <c r="M626" i="11" s="1"/>
  <c r="L453" i="11"/>
  <c r="M453" i="11" s="1"/>
  <c r="L719" i="11"/>
  <c r="M719" i="11" s="1"/>
  <c r="L269" i="11"/>
  <c r="M269" i="11" s="1"/>
  <c r="L678" i="11"/>
  <c r="M678" i="11" s="1"/>
  <c r="L360" i="11"/>
  <c r="M360" i="11" s="1"/>
  <c r="L444" i="11"/>
  <c r="M444" i="11" s="1"/>
  <c r="L742" i="11"/>
  <c r="M742" i="11" s="1"/>
  <c r="L652" i="11"/>
  <c r="M652" i="11" s="1"/>
  <c r="L215" i="11"/>
  <c r="M215" i="11" s="1"/>
  <c r="L270" i="11"/>
  <c r="M270" i="11" s="1"/>
  <c r="L248" i="11"/>
  <c r="M248" i="11" s="1"/>
  <c r="L572" i="11"/>
  <c r="M572" i="11" s="1"/>
  <c r="L364" i="11"/>
  <c r="M364" i="11" s="1"/>
  <c r="L69" i="11"/>
  <c r="M69" i="11" s="1"/>
  <c r="L137" i="11"/>
  <c r="M137" i="11" s="1"/>
  <c r="L627" i="11"/>
  <c r="M627" i="11" s="1"/>
  <c r="L282" i="11"/>
  <c r="M282" i="11" s="1"/>
  <c r="L580" i="11"/>
  <c r="M580" i="11" s="1"/>
  <c r="L496" i="11"/>
  <c r="M496" i="11" s="1"/>
  <c r="L196" i="11"/>
  <c r="M196" i="11" s="1"/>
  <c r="L119" i="11"/>
  <c r="M119" i="11" s="1"/>
  <c r="L135" i="11"/>
  <c r="M135" i="11" s="1"/>
  <c r="L412" i="11"/>
  <c r="M412" i="11" s="1"/>
  <c r="L57" i="11"/>
  <c r="M57" i="11" s="1"/>
  <c r="L514" i="11"/>
  <c r="M514" i="11" s="1"/>
  <c r="L634" i="11"/>
  <c r="M634" i="11" s="1"/>
  <c r="L767" i="11"/>
  <c r="M767" i="11" s="1"/>
  <c r="L685" i="11"/>
  <c r="M685" i="11" s="1"/>
  <c r="L300" i="11"/>
  <c r="M300" i="11" s="1"/>
  <c r="L289" i="11"/>
  <c r="M289" i="11" s="1"/>
  <c r="L110" i="11"/>
  <c r="M110" i="11" s="1"/>
  <c r="L388" i="11"/>
  <c r="M388" i="11" s="1"/>
  <c r="L192" i="11"/>
  <c r="M192" i="11" s="1"/>
  <c r="L417" i="11"/>
  <c r="M417" i="11" s="1"/>
  <c r="L732" i="11"/>
  <c r="M732" i="11" s="1"/>
  <c r="L14" i="11"/>
  <c r="M14" i="11" s="1"/>
  <c r="L387" i="11"/>
  <c r="M387" i="11" s="1"/>
  <c r="L771" i="11"/>
  <c r="M771" i="11" s="1"/>
  <c r="L92" i="11"/>
  <c r="M92" i="11" s="1"/>
  <c r="L381" i="11"/>
  <c r="M381" i="11" s="1"/>
  <c r="L609" i="11"/>
  <c r="M609" i="11" s="1"/>
  <c r="L325" i="11"/>
  <c r="M325" i="11" s="1"/>
  <c r="L531" i="11"/>
  <c r="M531" i="11" s="1"/>
  <c r="L186" i="11"/>
  <c r="M186" i="11" s="1"/>
  <c r="L228" i="11"/>
  <c r="M228" i="11" s="1"/>
  <c r="L153" i="11"/>
  <c r="M153" i="11" s="1"/>
  <c r="L374" i="11"/>
  <c r="M374" i="11" s="1"/>
  <c r="L240" i="11"/>
  <c r="M240" i="11" s="1"/>
  <c r="L667" i="11"/>
  <c r="M667" i="11" s="1"/>
  <c r="L243" i="11"/>
  <c r="M243" i="11" s="1"/>
  <c r="L39" i="11"/>
  <c r="M39" i="11" s="1"/>
  <c r="L573" i="11"/>
  <c r="M573" i="11" s="1"/>
  <c r="L515" i="11"/>
  <c r="M515" i="11" s="1"/>
  <c r="L582" i="11"/>
  <c r="M582" i="11" s="1"/>
  <c r="L442" i="11"/>
  <c r="M442" i="11" s="1"/>
  <c r="L24" i="11"/>
  <c r="M24" i="11" s="1"/>
  <c r="L691" i="11"/>
  <c r="M691" i="11" s="1"/>
  <c r="L329" i="11"/>
  <c r="M329" i="11" s="1"/>
  <c r="L49" i="11"/>
  <c r="M49" i="11" s="1"/>
  <c r="L516" i="11"/>
  <c r="M516" i="11" s="1"/>
  <c r="L90" i="11"/>
  <c r="M90" i="11" s="1"/>
  <c r="L33" i="11"/>
  <c r="M33" i="11" s="1"/>
  <c r="L377" i="11"/>
  <c r="M377" i="11" s="1"/>
  <c r="L746" i="11"/>
  <c r="M746" i="11" s="1"/>
  <c r="L227" i="11"/>
  <c r="M227" i="11" s="1"/>
  <c r="L55" i="11"/>
  <c r="M55" i="11" s="1"/>
  <c r="L7" i="11"/>
  <c r="M7" i="11" s="1"/>
  <c r="L348" i="11"/>
  <c r="M348" i="11" s="1"/>
  <c r="L96" i="11"/>
  <c r="M96" i="11" s="1"/>
  <c r="L221" i="11"/>
  <c r="M221" i="11" s="1"/>
  <c r="L429" i="11"/>
  <c r="M429" i="11" s="1"/>
  <c r="L310" i="11"/>
  <c r="M310" i="11" s="1"/>
  <c r="L499" i="11"/>
  <c r="M499" i="11" s="1"/>
  <c r="L557" i="11"/>
  <c r="M557" i="11" s="1"/>
  <c r="L632" i="11"/>
  <c r="M632" i="11" s="1"/>
  <c r="L676" i="11"/>
  <c r="M676" i="11" s="1"/>
  <c r="L711" i="11"/>
  <c r="M711" i="11" s="1"/>
  <c r="L207" i="11"/>
  <c r="M207" i="11" s="1"/>
  <c r="L42" i="11"/>
  <c r="M42" i="11" s="1"/>
  <c r="L695" i="11"/>
  <c r="M695" i="11" s="1"/>
  <c r="L208" i="11"/>
  <c r="M208" i="11" s="1"/>
  <c r="L648" i="11"/>
  <c r="M648" i="11" s="1"/>
  <c r="L391" i="11"/>
  <c r="M391" i="11" s="1"/>
  <c r="L156" i="11"/>
  <c r="M156" i="11" s="1"/>
  <c r="L148" i="11"/>
  <c r="M148" i="11" s="1"/>
  <c r="L307" i="11"/>
  <c r="M307" i="11" s="1"/>
  <c r="L762" i="11"/>
  <c r="M762" i="11" s="1"/>
  <c r="L29" i="11"/>
  <c r="M29" i="11" s="1"/>
  <c r="L28" i="11"/>
  <c r="M28" i="11" s="1"/>
  <c r="L256" i="11"/>
  <c r="M256" i="11" s="1"/>
  <c r="L700" i="11"/>
  <c r="M700" i="11" s="1"/>
  <c r="L168" i="11"/>
  <c r="M168" i="11" s="1"/>
  <c r="L275" i="11"/>
  <c r="M275" i="11" s="1"/>
  <c r="L279" i="11"/>
  <c r="M279" i="11" s="1"/>
  <c r="L195" i="11"/>
  <c r="M195" i="11" s="1"/>
  <c r="L126" i="11"/>
  <c r="M126" i="11" s="1"/>
  <c r="L272" i="11"/>
  <c r="M272" i="11" s="1"/>
  <c r="L134" i="11"/>
  <c r="M134" i="11" s="1"/>
  <c r="L489" i="11"/>
  <c r="M489" i="11" s="1"/>
  <c r="L333" i="11"/>
  <c r="M333" i="11" s="1"/>
  <c r="L428" i="11"/>
  <c r="M428" i="11" s="1"/>
  <c r="L559" i="11"/>
  <c r="M559" i="11" s="1"/>
  <c r="L304" i="11"/>
  <c r="M304" i="11" s="1"/>
  <c r="L563" i="11"/>
  <c r="M563" i="11" s="1"/>
  <c r="L683" i="11"/>
  <c r="M683" i="11" s="1"/>
  <c r="L339" i="11"/>
  <c r="M339" i="11" s="1"/>
  <c r="L363" i="11"/>
  <c r="M363" i="11" s="1"/>
  <c r="L655" i="11"/>
  <c r="M655" i="11" s="1"/>
  <c r="L74" i="11"/>
  <c r="M74" i="11" s="1"/>
  <c r="L125" i="11"/>
  <c r="M125" i="11" s="1"/>
  <c r="L427" i="11"/>
  <c r="M427" i="11" s="1"/>
  <c r="L485" i="11"/>
  <c r="M485" i="11" s="1"/>
  <c r="L290" i="11"/>
  <c r="M290" i="11" s="1"/>
  <c r="L763" i="11"/>
  <c r="M763" i="11" s="1"/>
  <c r="L316" i="11"/>
  <c r="M316" i="11" s="1"/>
  <c r="L740" i="11"/>
  <c r="M740" i="11" s="1"/>
  <c r="L426" i="11"/>
  <c r="M426" i="11" s="1"/>
  <c r="L688" i="11"/>
  <c r="M688" i="11" s="1"/>
  <c r="L165" i="11"/>
  <c r="M165" i="11" s="1"/>
  <c r="L440" i="11"/>
  <c r="M440" i="11" s="1"/>
  <c r="L506" i="11"/>
  <c r="M506" i="11" s="1"/>
  <c r="L611" i="11"/>
  <c r="M611" i="11" s="1"/>
  <c r="L707" i="11"/>
  <c r="M707" i="11" s="1"/>
  <c r="L425" i="11"/>
  <c r="M425" i="11" s="1"/>
  <c r="L254" i="11"/>
  <c r="M254" i="11" s="1"/>
  <c r="L725" i="11"/>
  <c r="M725" i="11" s="1"/>
  <c r="L541" i="11"/>
  <c r="M541" i="11" s="1"/>
  <c r="L525" i="11"/>
  <c r="M525" i="11" s="1"/>
  <c r="L211" i="11"/>
  <c r="M211" i="11" s="1"/>
  <c r="L277" i="11"/>
  <c r="M277" i="11" s="1"/>
  <c r="L26" i="11"/>
  <c r="M26" i="11" s="1"/>
  <c r="L366" i="11"/>
  <c r="M366" i="11" s="1"/>
  <c r="L305" i="11"/>
  <c r="M305" i="11" s="1"/>
  <c r="L512" i="11"/>
  <c r="M512" i="11" s="1"/>
  <c r="L527" i="11"/>
  <c r="M527" i="11" s="1"/>
  <c r="L662" i="11"/>
  <c r="M662" i="11" s="1"/>
  <c r="L604" i="11"/>
  <c r="M604" i="11" s="1"/>
  <c r="L735" i="11"/>
  <c r="M735" i="11" s="1"/>
  <c r="L276" i="11"/>
  <c r="M276" i="11" s="1"/>
  <c r="L513" i="11"/>
  <c r="M513" i="11" s="1"/>
  <c r="L689" i="11"/>
  <c r="M689" i="11" s="1"/>
  <c r="L4" i="11"/>
  <c r="M4" i="11" s="1"/>
  <c r="L400" i="11"/>
  <c r="M400" i="11" s="1"/>
  <c r="L738" i="11"/>
  <c r="M738" i="11" s="1"/>
  <c r="L454" i="11"/>
  <c r="M454" i="11" s="1"/>
  <c r="L650" i="11"/>
  <c r="M650" i="11" s="1"/>
  <c r="L543" i="11"/>
  <c r="M543" i="11" s="1"/>
  <c r="L433" i="11"/>
  <c r="M433" i="11" s="1"/>
  <c r="L73" i="11"/>
  <c r="M73" i="11" s="1"/>
  <c r="L41" i="11"/>
  <c r="M41" i="11" s="1"/>
  <c r="L111" i="11"/>
  <c r="M111" i="11" s="1"/>
  <c r="L266" i="11"/>
  <c r="M266" i="11" s="1"/>
  <c r="L102" i="11"/>
  <c r="M102" i="11" s="1"/>
  <c r="L280" i="11"/>
  <c r="M280" i="11" s="1"/>
  <c r="L449" i="11"/>
  <c r="M449" i="11" s="1"/>
  <c r="L461" i="11"/>
  <c r="M461" i="11" s="1"/>
  <c r="L253" i="11"/>
  <c r="M253" i="11" s="1"/>
  <c r="L734" i="11"/>
  <c r="M734" i="11" s="1"/>
  <c r="L509" i="11"/>
  <c r="M509" i="11" s="1"/>
  <c r="L297" i="11"/>
  <c r="M297" i="11" s="1"/>
  <c r="L355" i="11"/>
  <c r="M355" i="11" s="1"/>
  <c r="L556" i="11"/>
  <c r="M556" i="11" s="1"/>
  <c r="L703" i="11"/>
  <c r="M703" i="11" s="1"/>
  <c r="L194" i="11"/>
  <c r="M194" i="11" s="1"/>
  <c r="L38" i="11"/>
  <c r="M38" i="11" s="1"/>
  <c r="L340" i="11"/>
  <c r="M340" i="11" s="1"/>
  <c r="L600" i="11"/>
  <c r="M600" i="11" s="1"/>
  <c r="L150" i="11"/>
  <c r="M150" i="11" s="1"/>
  <c r="L5" i="11"/>
  <c r="M5" i="11" s="1"/>
  <c r="L754" i="11"/>
  <c r="M754" i="11" s="1"/>
  <c r="L757" i="11"/>
  <c r="M757" i="11" s="1"/>
  <c r="L519" i="11"/>
  <c r="M519" i="11" s="1"/>
  <c r="L249" i="11"/>
  <c r="M249" i="11" s="1"/>
  <c r="L567" i="11"/>
  <c r="M567" i="11" s="1"/>
  <c r="L315" i="11"/>
  <c r="M315" i="11" s="1"/>
  <c r="L443" i="11"/>
  <c r="M443" i="11" s="1"/>
  <c r="L183" i="11"/>
  <c r="M183" i="11" s="1"/>
  <c r="L65" i="11"/>
  <c r="M65" i="11" s="1"/>
  <c r="L368" i="11"/>
  <c r="M368" i="11" s="1"/>
  <c r="L18" i="11"/>
  <c r="M18" i="11" s="1"/>
  <c r="L222" i="11"/>
  <c r="M222" i="11" s="1"/>
  <c r="L607" i="11"/>
  <c r="M607" i="11" s="1"/>
  <c r="L641" i="11"/>
  <c r="M641" i="11" s="1"/>
  <c r="L251" i="11"/>
  <c r="M251" i="11" s="1"/>
  <c r="L80" i="11"/>
  <c r="M80" i="11" s="1"/>
  <c r="L653" i="11"/>
  <c r="M653" i="11" s="1"/>
  <c r="L244" i="11"/>
  <c r="M244" i="11" s="1"/>
  <c r="L3" i="11"/>
  <c r="M3" i="11" s="1"/>
  <c r="L327" i="11"/>
  <c r="M327" i="11" s="1"/>
  <c r="L586" i="11"/>
  <c r="M586" i="11" s="1"/>
  <c r="L191" i="11"/>
  <c r="M191" i="11" s="1"/>
  <c r="L397" i="11"/>
  <c r="M397" i="11" s="1"/>
  <c r="L258" i="11"/>
  <c r="M258" i="11" s="1"/>
  <c r="L608" i="11"/>
  <c r="M608" i="11" s="1"/>
  <c r="L487" i="11"/>
  <c r="M487" i="11" s="1"/>
  <c r="L209" i="11"/>
  <c r="M209" i="11" s="1"/>
  <c r="L78" i="11"/>
  <c r="M78" i="11" s="1"/>
  <c r="L438" i="11"/>
  <c r="M438" i="11" s="1"/>
  <c r="L774" i="11"/>
  <c r="M774" i="11" s="1"/>
  <c r="L651" i="11"/>
  <c r="M651" i="11" s="1"/>
  <c r="L129" i="11"/>
  <c r="M129" i="11" s="1"/>
  <c r="L383" i="11"/>
  <c r="M383" i="11" s="1"/>
  <c r="L230" i="11"/>
  <c r="M230" i="11" s="1"/>
  <c r="L274" i="11"/>
  <c r="M274" i="11" s="1"/>
  <c r="L476" i="11"/>
  <c r="M476" i="11" s="1"/>
  <c r="L107" i="11"/>
  <c r="M107" i="11" s="1"/>
  <c r="L234" i="11"/>
  <c r="M234" i="11" s="1"/>
  <c r="L620" i="11"/>
  <c r="M620" i="11" s="1"/>
  <c r="L577" i="11"/>
  <c r="M577" i="11" s="1"/>
  <c r="L61" i="11"/>
  <c r="M61" i="11" s="1"/>
  <c r="L58" i="11"/>
  <c r="M58" i="11" s="1"/>
  <c r="L359" i="11"/>
  <c r="M359" i="11" s="1"/>
  <c r="L302" i="11"/>
  <c r="M302" i="11" s="1"/>
  <c r="L503" i="11"/>
  <c r="M503" i="11" s="1"/>
  <c r="L665" i="11"/>
  <c r="M665" i="11" s="1"/>
  <c r="L680" i="11"/>
  <c r="M680" i="11" s="1"/>
  <c r="L524" i="11"/>
  <c r="M524" i="11" s="1"/>
  <c r="L666" i="11"/>
  <c r="M666" i="11" s="1"/>
  <c r="L605" i="11"/>
  <c r="M605" i="11" s="1"/>
  <c r="L22" i="11"/>
  <c r="M22" i="11" s="1"/>
  <c r="L555" i="11"/>
  <c r="M555" i="11" s="1"/>
  <c r="L86" i="11"/>
  <c r="M86" i="11" s="1"/>
  <c r="L599" i="11"/>
  <c r="M599" i="11" s="1"/>
  <c r="L710" i="11"/>
  <c r="M710" i="11" s="1"/>
  <c r="L200" i="11"/>
  <c r="M200" i="11" s="1"/>
  <c r="L390" i="11"/>
  <c r="M390" i="11" s="1"/>
  <c r="L728" i="11"/>
  <c r="M728" i="11" s="1"/>
  <c r="L766" i="11"/>
  <c r="M766" i="11" s="1"/>
  <c r="L619" i="11"/>
  <c r="M619" i="11" s="1"/>
  <c r="L384" i="11"/>
  <c r="M384" i="11" s="1"/>
  <c r="L457" i="11"/>
  <c r="M457" i="11" s="1"/>
  <c r="L575" i="11"/>
  <c r="M575" i="11" s="1"/>
  <c r="L593" i="11"/>
  <c r="M593" i="11" s="1"/>
  <c r="L163" i="11"/>
  <c r="M163" i="11" s="1"/>
  <c r="L291" i="11"/>
  <c r="M291" i="11" s="1"/>
  <c r="L173" i="11"/>
  <c r="M173" i="11" s="1"/>
  <c r="L64" i="11"/>
  <c r="M64" i="11" s="1"/>
  <c r="L456" i="11"/>
  <c r="M456" i="11" s="1"/>
  <c r="L362" i="11"/>
  <c r="M362" i="11" s="1"/>
  <c r="L510" i="11"/>
  <c r="M510" i="11" s="1"/>
  <c r="L500" i="11"/>
  <c r="M500" i="11" s="1"/>
  <c r="L341" i="11"/>
  <c r="M341" i="11" s="1"/>
  <c r="L128" i="11"/>
  <c r="M128" i="11" s="1"/>
  <c r="L48" i="11"/>
  <c r="M48" i="11" s="1"/>
  <c r="L574" i="11"/>
  <c r="M574" i="11" s="1"/>
  <c r="L263" i="11"/>
  <c r="M263" i="11" s="1"/>
  <c r="L537" i="11"/>
  <c r="M537" i="11" s="1"/>
  <c r="L115" i="11"/>
  <c r="M115" i="11" s="1"/>
  <c r="L321" i="11"/>
  <c r="M321" i="11" s="1"/>
  <c r="L361" i="11"/>
  <c r="M361" i="11" s="1"/>
  <c r="L318" i="11"/>
  <c r="M318" i="11" s="1"/>
  <c r="L260" i="11"/>
  <c r="M260" i="11" s="1"/>
  <c r="L602" i="11"/>
  <c r="M602" i="11" s="1"/>
  <c r="L698" i="11"/>
  <c r="M698" i="11" s="1"/>
  <c r="L206" i="11"/>
  <c r="M206" i="11" s="1"/>
  <c r="L25" i="11"/>
  <c r="M25" i="11" s="1"/>
  <c r="L663" i="11"/>
  <c r="M663" i="11" s="1"/>
  <c r="L758" i="11"/>
  <c r="M758" i="11" s="1"/>
  <c r="L530" i="11"/>
  <c r="M530" i="11" s="1"/>
  <c r="L477" i="11"/>
  <c r="M477" i="11" s="1"/>
  <c r="L124" i="11"/>
  <c r="M124" i="11" s="1"/>
  <c r="L81" i="11"/>
  <c r="M81" i="11" s="1"/>
  <c r="L344" i="11"/>
  <c r="M344" i="11" s="1"/>
  <c r="L121" i="11"/>
  <c r="M121" i="11" s="1"/>
  <c r="L677" i="11"/>
  <c r="M677" i="11" s="1"/>
  <c r="L415" i="11"/>
  <c r="M415" i="11" s="1"/>
  <c r="L76" i="11"/>
  <c r="M76" i="11" s="1"/>
  <c r="L584" i="11"/>
  <c r="M584" i="11" s="1"/>
  <c r="L636" i="11"/>
  <c r="M636" i="11" s="1"/>
  <c r="L564" i="11"/>
  <c r="M564" i="11" s="1"/>
  <c r="L463" i="11"/>
  <c r="M463" i="11" s="1"/>
  <c r="L694" i="11"/>
  <c r="M694" i="11" s="1"/>
  <c r="L552" i="11"/>
  <c r="M552" i="11" s="1"/>
  <c r="L197" i="11"/>
  <c r="M197" i="11" s="1"/>
  <c r="L376" i="11"/>
  <c r="M376" i="11" s="1"/>
  <c r="L566" i="11"/>
  <c r="M566" i="11" s="1"/>
  <c r="L103" i="11"/>
  <c r="M103" i="11" s="1"/>
  <c r="S13" i="11" l="1"/>
  <c r="S14" i="11" s="1"/>
  <c r="P13" i="11" a="1"/>
  <c r="P13" i="11" s="1"/>
  <c r="P14" i="11" s="1"/>
  <c r="Q13" i="11"/>
  <c r="Q14" i="11" s="1"/>
  <c r="Q4" i="11"/>
  <c r="R13" i="11" a="1"/>
  <c r="R13" i="11" s="1"/>
  <c r="R14" i="11" s="1"/>
  <c r="H14" i="10" l="1"/>
  <c r="O20" i="7"/>
  <c r="P22" i="14" s="1"/>
  <c r="O19" i="7"/>
  <c r="H13" i="10"/>
  <c r="O18" i="7"/>
  <c r="P25" i="14"/>
  <c r="H12" i="10"/>
  <c r="B10" i="15" s="1"/>
  <c r="P15" i="11"/>
  <c r="O23" i="7"/>
  <c r="H17" i="10"/>
  <c r="B13" i="15" l="1"/>
  <c r="E1" i="15" s="1"/>
  <c r="E2" i="15" s="1"/>
  <c r="E4" i="15" s="1"/>
  <c r="P16" i="11"/>
  <c r="Q16" i="11"/>
  <c r="B12" i="15"/>
  <c r="B11" i="15"/>
  <c r="I77" i="3"/>
  <c r="I78" i="3"/>
  <c r="I79" i="3" s="1"/>
  <c r="H22" i="8" s="1"/>
  <c r="J46" i="6"/>
  <c r="P21" i="14"/>
  <c r="E12" i="15" l="1"/>
  <c r="E16" i="15" s="1"/>
  <c r="A25" i="15"/>
  <c r="J47" i="6"/>
  <c r="J49" i="6" s="1"/>
  <c r="J50" i="6" s="1"/>
  <c r="J51" i="6" s="1"/>
  <c r="J57" i="6"/>
  <c r="O21" i="7"/>
  <c r="H15" i="10"/>
  <c r="E53" i="15" l="1"/>
  <c r="D107" i="15"/>
  <c r="A27" i="15"/>
  <c r="J56" i="6"/>
  <c r="J61" i="6" s="1"/>
  <c r="J65" i="6" s="1"/>
  <c r="J66" i="6" s="1"/>
  <c r="J67" i="6" s="1"/>
  <c r="J71" i="6" s="1"/>
  <c r="H21" i="8" s="1"/>
  <c r="N12" i="8" s="1"/>
  <c r="J55" i="6"/>
  <c r="P26" i="14"/>
  <c r="B84" i="15"/>
  <c r="C91" i="15" s="1"/>
  <c r="O28" i="7"/>
  <c r="O15" i="7" l="1"/>
  <c r="P23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Page012" description="Connection to the 'Page012' query in the workbook." type="5" refreshedVersion="8" background="1" saveData="1">
    <dbPr connection="Provider=Microsoft.Mashup.OleDb.1;Data Source=$Workbook$;Location=Page012;Extended Properties=&quot;&quot;" command="SELECT * FROM [Page012]"/>
  </connection>
</connections>
</file>

<file path=xl/sharedStrings.xml><?xml version="1.0" encoding="utf-8"?>
<sst xmlns="http://schemas.openxmlformats.org/spreadsheetml/2006/main" count="4554" uniqueCount="694">
  <si>
    <t xml:space="preserve">Flowrate (Q) </t>
  </si>
  <si>
    <t>Length of Pipe (L)</t>
  </si>
  <si>
    <t>m</t>
  </si>
  <si>
    <r>
      <t>Allowable Pressure Drop (</t>
    </r>
    <r>
      <rPr>
        <sz val="11"/>
        <color theme="1"/>
        <rFont val="Calibri"/>
        <family val="2"/>
      </rPr>
      <t>∆</t>
    </r>
    <r>
      <rPr>
        <sz val="11"/>
        <color theme="1"/>
        <rFont val="Calibri"/>
        <family val="2"/>
        <scheme val="minor"/>
      </rPr>
      <t>P)</t>
    </r>
  </si>
  <si>
    <t xml:space="preserve">Density </t>
  </si>
  <si>
    <t>kg/m.s</t>
  </si>
  <si>
    <t>Specific Gravity</t>
  </si>
  <si>
    <t>-</t>
  </si>
  <si>
    <t>D (Assumed)</t>
  </si>
  <si>
    <t>m/s</t>
  </si>
  <si>
    <r>
      <t>Pipe Roughness (</t>
    </r>
    <r>
      <rPr>
        <sz val="11"/>
        <color theme="1"/>
        <rFont val="Calibri"/>
        <family val="2"/>
      </rPr>
      <t>ε)</t>
    </r>
  </si>
  <si>
    <t>Temperature (T)</t>
  </si>
  <si>
    <t>Final Pressure (P2)</t>
  </si>
  <si>
    <t xml:space="preserve">Gravity (g) </t>
  </si>
  <si>
    <t>Head Loss due to friction (hf)</t>
  </si>
  <si>
    <t xml:space="preserve">m </t>
  </si>
  <si>
    <t>Velocity Difference (∆V)</t>
  </si>
  <si>
    <t>atm</t>
  </si>
  <si>
    <t>K</t>
  </si>
  <si>
    <t xml:space="preserve">Kinematic Viscosity </t>
  </si>
  <si>
    <t>Specific gravity (G)</t>
  </si>
  <si>
    <t xml:space="preserve">Specific Weight </t>
  </si>
  <si>
    <t>m2</t>
  </si>
  <si>
    <t>m2/s</t>
  </si>
  <si>
    <t>kg/m3</t>
  </si>
  <si>
    <t>INPUT PARAMETERS (In SI Units)</t>
  </si>
  <si>
    <t xml:space="preserve">GAS FLOW ASSURANCE CALCULATIONS </t>
  </si>
  <si>
    <t>REQUIRED PARAMETERS</t>
  </si>
  <si>
    <t>Flowrate (Qb)</t>
  </si>
  <si>
    <t>Standard Pressure (Pb)</t>
  </si>
  <si>
    <t>SCFD</t>
  </si>
  <si>
    <t>Standard Temperature (Tb)</t>
  </si>
  <si>
    <t>Inlet Pressure (p1)</t>
  </si>
  <si>
    <t>psia</t>
  </si>
  <si>
    <t>Outlet Pressure (p2)</t>
  </si>
  <si>
    <t>Gas Relative Density (G)</t>
  </si>
  <si>
    <t>Compressibility (Zm)</t>
  </si>
  <si>
    <t>Mean Pressure (Pm)</t>
  </si>
  <si>
    <t>mile</t>
  </si>
  <si>
    <t>in.</t>
  </si>
  <si>
    <t>⁰R</t>
  </si>
  <si>
    <t>Initial Pressure (P1)</t>
  </si>
  <si>
    <t>COMPRESSIBILITY FACTOR CALCULATIONS</t>
  </si>
  <si>
    <t xml:space="preserve">T </t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</si>
  <si>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1"/>
        <color theme="1"/>
        <rFont val="Calibri"/>
        <family val="2"/>
        <scheme val="minor"/>
      </rPr>
      <t>F</t>
    </r>
  </si>
  <si>
    <t>p</t>
  </si>
  <si>
    <t xml:space="preserve"> psia</t>
  </si>
  <si>
    <t xml:space="preserve">SGFG </t>
  </si>
  <si>
    <t xml:space="preserve"> air=1</t>
  </si>
  <si>
    <r>
      <t xml:space="preserve"> </t>
    </r>
    <r>
      <rPr>
        <vertAlign val="superscript"/>
        <sz val="10"/>
        <rFont val="Arial"/>
        <family val="2"/>
      </rPr>
      <t>o</t>
    </r>
    <r>
      <rPr>
        <sz val="11"/>
        <color theme="1"/>
        <rFont val="Calibri"/>
        <family val="2"/>
        <scheme val="minor"/>
      </rPr>
      <t>R</t>
    </r>
  </si>
  <si>
    <t>INPUT DATA</t>
  </si>
  <si>
    <t xml:space="preserve">      Tpc</t>
  </si>
  <si>
    <t xml:space="preserve">      Ppc</t>
  </si>
  <si>
    <t xml:space="preserve">      Tpr</t>
  </si>
  <si>
    <t xml:space="preserve">      t</t>
  </si>
  <si>
    <t xml:space="preserve">      Ppr</t>
  </si>
  <si>
    <t>CALCULATE CRITICAL AND REDUCED TEMPERATURE AND PRESSURE</t>
  </si>
  <si>
    <t xml:space="preserve">      A</t>
  </si>
  <si>
    <t xml:space="preserve">      B</t>
  </si>
  <si>
    <t xml:space="preserve">      C</t>
  </si>
  <si>
    <t xml:space="preserve">      D</t>
  </si>
  <si>
    <t>CALCULATE TEMPERATURE DEPENDENT TERMS</t>
  </si>
  <si>
    <t>CALCULATE Z-FACTOR</t>
  </si>
  <si>
    <t>By Hall-Yarborogh Method</t>
  </si>
  <si>
    <t>CALCULATE REDUCED DENSITY Y</t>
  </si>
  <si>
    <t xml:space="preserve">     Y(Assumed)</t>
  </si>
  <si>
    <t xml:space="preserve">      F</t>
  </si>
  <si>
    <t xml:space="preserve">Efficiency Factor (E) </t>
  </si>
  <si>
    <t xml:space="preserve">      Z </t>
  </si>
  <si>
    <t>Components</t>
  </si>
  <si>
    <t>Methane (CH4)</t>
  </si>
  <si>
    <t>Ethane (C2H6)</t>
  </si>
  <si>
    <t>Propane (C3H8)</t>
  </si>
  <si>
    <t>n-Butane (C4H10)</t>
  </si>
  <si>
    <t>i-Butane (C4H10)</t>
  </si>
  <si>
    <t>n-Pentane (C5H12)</t>
  </si>
  <si>
    <t>i-Pentane (C5H12)</t>
  </si>
  <si>
    <t>Hydrogen Sulfide (H2S)</t>
  </si>
  <si>
    <t>Hydrogen (H2)</t>
  </si>
  <si>
    <t>Carbon Dioxide (CO2)</t>
  </si>
  <si>
    <t>Nitrogen (N2)</t>
  </si>
  <si>
    <t>Oxygen (O2)</t>
  </si>
  <si>
    <t>Molecular Weight (M) (g/mol)</t>
  </si>
  <si>
    <t>Composition</t>
  </si>
  <si>
    <t>Molecular Weight of Air (Ma)</t>
  </si>
  <si>
    <t>g/mol</t>
  </si>
  <si>
    <t>Molecular Weight of Gas (Mg)</t>
  </si>
  <si>
    <t>SOLUTION (USING RELEVANT EQUATIONS)</t>
  </si>
  <si>
    <t xml:space="preserve"> Qb (Calculated)</t>
  </si>
  <si>
    <t xml:space="preserve">Average Temperature (Tm) </t>
  </si>
  <si>
    <t xml:space="preserve"> SCFD</t>
  </si>
  <si>
    <t>cubic meter /day</t>
  </si>
  <si>
    <t>Qb (Required)</t>
  </si>
  <si>
    <t xml:space="preserve">Difference </t>
  </si>
  <si>
    <t>N/m3</t>
  </si>
  <si>
    <t xml:space="preserve">Maximum Operating Pressure </t>
  </si>
  <si>
    <t>OUTPUTS</t>
  </si>
  <si>
    <t>Diameter Value</t>
  </si>
  <si>
    <t xml:space="preserve">Dynamic Viscosity </t>
  </si>
  <si>
    <t>mm</t>
  </si>
  <si>
    <t>cSt</t>
  </si>
  <si>
    <t>For Carbon Steel</t>
  </si>
  <si>
    <t>cubic meter /s</t>
  </si>
  <si>
    <t>Properties of several Oils at Ambient Temperature</t>
  </si>
  <si>
    <t>Oil name</t>
  </si>
  <si>
    <t>Dynamic Viscosity (kg/ms)</t>
  </si>
  <si>
    <t>Density (kg/m3)</t>
  </si>
  <si>
    <t>Crude Oil</t>
  </si>
  <si>
    <t>Gasoline</t>
  </si>
  <si>
    <t>Kerosene</t>
  </si>
  <si>
    <t>Properties of specified fuel at Ambient Temperature</t>
  </si>
  <si>
    <t>Heavy fuel</t>
  </si>
  <si>
    <t>Diesel</t>
  </si>
  <si>
    <t>kinematic Viscosity (m2/s)</t>
  </si>
  <si>
    <t>GAS COMPOSITION AND PROPERTIES AT AMBIENT TEMPERATURE</t>
  </si>
  <si>
    <t>Area of Pipe (m2)</t>
  </si>
  <si>
    <t>Velocity of Gas (m/s)</t>
  </si>
  <si>
    <t>Reynolds No.</t>
  </si>
  <si>
    <t>Set Cell</t>
  </si>
  <si>
    <t>Target Value</t>
  </si>
  <si>
    <t>Change Cell</t>
  </si>
  <si>
    <t>Assumed Diameters</t>
  </si>
  <si>
    <t>Calculated Diameters</t>
  </si>
  <si>
    <t>diameter2</t>
  </si>
  <si>
    <t>diameter1</t>
  </si>
  <si>
    <t>Average Kinematic Viscosity (v)</t>
  </si>
  <si>
    <t>D(pt)</t>
  </si>
  <si>
    <t>D(ft)</t>
  </si>
  <si>
    <t>partially turulent</t>
  </si>
  <si>
    <t>ft -&gt;</t>
  </si>
  <si>
    <t>fully turbulent</t>
  </si>
  <si>
    <t>pt -&gt;</t>
  </si>
  <si>
    <t>REYNOLD'S NUMBER CALCULATION (pt)</t>
  </si>
  <si>
    <t>REYNOLD'S NUMBER CALCULATION (ft)</t>
  </si>
  <si>
    <t>Weymouth Equation (Fully Turbulent Flow)</t>
  </si>
  <si>
    <t>Panhandle (A) Equation (Partially Turbulent Flow)</t>
  </si>
  <si>
    <t>diffft</t>
  </si>
  <si>
    <t>diffptr</t>
  </si>
  <si>
    <t>GOAL SEEK Automation (pt)</t>
  </si>
  <si>
    <t>GOAL SEEK Automation (ft)</t>
  </si>
  <si>
    <t>Partially Turbulent</t>
  </si>
  <si>
    <t>Fully Turbulent</t>
  </si>
  <si>
    <t>1.778*10^-5</t>
  </si>
  <si>
    <t>Final Diameter</t>
  </si>
  <si>
    <t>Step 01 (Diameter Assumption)</t>
  </si>
  <si>
    <t>D (Assumed in m)</t>
  </si>
  <si>
    <t>Step 02 (Reynolds No. Calculation)</t>
  </si>
  <si>
    <t>Area of Pipe</t>
  </si>
  <si>
    <t>Velocity of Fluid</t>
  </si>
  <si>
    <t>kpa</t>
  </si>
  <si>
    <t>Step 03 (Friction Factor)</t>
  </si>
  <si>
    <t>f(Laminar)</t>
  </si>
  <si>
    <t>f(Turbulent)</t>
  </si>
  <si>
    <t>e/D</t>
  </si>
  <si>
    <t>D (Assumed in mm)</t>
  </si>
  <si>
    <t>Step 04 (Head Loss Calculation)</t>
  </si>
  <si>
    <t>m/s2</t>
  </si>
  <si>
    <t>Initial Hieght</t>
  </si>
  <si>
    <t>Final Hieght</t>
  </si>
  <si>
    <t>Elevation Difference(∆z)</t>
  </si>
  <si>
    <t>Step 05 (∆P Calculations)</t>
  </si>
  <si>
    <t>∆P</t>
  </si>
  <si>
    <t>Pa</t>
  </si>
  <si>
    <t xml:space="preserve">∆P </t>
  </si>
  <si>
    <t>Goal Seek Application</t>
  </si>
  <si>
    <t>∆P (Calculated)</t>
  </si>
  <si>
    <t>∆P (Allowable)</t>
  </si>
  <si>
    <t>Difference</t>
  </si>
  <si>
    <t>GOAL SEEK Automation</t>
  </si>
  <si>
    <t>diffpno</t>
  </si>
  <si>
    <t>dano</t>
  </si>
  <si>
    <t>Input Parameters</t>
  </si>
  <si>
    <t>Flowrate</t>
  </si>
  <si>
    <t>m3/s</t>
  </si>
  <si>
    <t>Length of Pipe</t>
  </si>
  <si>
    <t>Fluid Type</t>
  </si>
  <si>
    <t>Diameter</t>
  </si>
  <si>
    <t>units</t>
  </si>
  <si>
    <t>Gas</t>
  </si>
  <si>
    <t>Diameter Outputs</t>
  </si>
  <si>
    <t>Water</t>
  </si>
  <si>
    <t xml:space="preserve">Select Liquid </t>
  </si>
  <si>
    <t>Type of Liquid</t>
  </si>
  <si>
    <t>Liquid Fluid</t>
  </si>
  <si>
    <t>Gas Fluid</t>
  </si>
  <si>
    <t>Gas Composition</t>
  </si>
  <si>
    <t>Outputs</t>
  </si>
  <si>
    <t>Max Operating Pressure</t>
  </si>
  <si>
    <t>Type of Fluid</t>
  </si>
  <si>
    <t>Liquid</t>
  </si>
  <si>
    <t>Diameter (For MC module)</t>
  </si>
  <si>
    <t>Pipe Material</t>
  </si>
  <si>
    <t>Carbon Steel</t>
  </si>
  <si>
    <t>Total weight (kg)</t>
  </si>
  <si>
    <t>Pipe Grade</t>
  </si>
  <si>
    <t>Total weight (ton)</t>
  </si>
  <si>
    <t>Data of Carbon Steel (DN65)</t>
  </si>
  <si>
    <t>Pipe Size</t>
  </si>
  <si>
    <t>DN65</t>
  </si>
  <si>
    <t>Cost of Carbon Steel in USD</t>
  </si>
  <si>
    <t>Material Cost</t>
  </si>
  <si>
    <t>Material Cost based on Weight</t>
  </si>
  <si>
    <t>Grade</t>
  </si>
  <si>
    <t>Cost (USD/tonn)</t>
  </si>
  <si>
    <t>Cost per worker per hour in USD</t>
  </si>
  <si>
    <t>No of workers</t>
  </si>
  <si>
    <t>Length of pipe constructed in 1 hour</t>
  </si>
  <si>
    <t>No of Hours  needed per worker</t>
  </si>
  <si>
    <t>Lifecycle Cost</t>
  </si>
  <si>
    <t>Construction Cost</t>
  </si>
  <si>
    <t>Pipe thickness</t>
  </si>
  <si>
    <t>Misc cost</t>
  </si>
  <si>
    <t>Transporation Cost</t>
  </si>
  <si>
    <t xml:space="preserve">  Maintaince Cost per Km (Corrosion,operation) in USD per year</t>
  </si>
  <si>
    <t>Total Maintence Cost in USD</t>
  </si>
  <si>
    <t>(12% damage for maintance)</t>
  </si>
  <si>
    <t>Weight (kg/m)</t>
  </si>
  <si>
    <t>Total Project Cost</t>
  </si>
  <si>
    <t>GIS Factors (River,soil,road crossing)</t>
  </si>
  <si>
    <t>Mechnical Calculations</t>
  </si>
  <si>
    <t>Material Selection</t>
  </si>
  <si>
    <t>Standard Steel Pipe ASME 36.10</t>
  </si>
  <si>
    <t>SMYS (MPa)</t>
  </si>
  <si>
    <t xml:space="preserve">Allowable Stress </t>
  </si>
  <si>
    <t>Material</t>
  </si>
  <si>
    <t>API 5L Grade X46</t>
  </si>
  <si>
    <t>API 5L Grade X52</t>
  </si>
  <si>
    <t>API 5L Grade X56</t>
  </si>
  <si>
    <t>OUTPUT</t>
  </si>
  <si>
    <t>Thickness Vlaue</t>
  </si>
  <si>
    <t>Unit</t>
  </si>
  <si>
    <t>thickness t</t>
  </si>
  <si>
    <t>Pipe Class</t>
  </si>
  <si>
    <t xml:space="preserve">API 5L, </t>
  </si>
  <si>
    <t>INPUT PARAMTERS</t>
  </si>
  <si>
    <t>Units</t>
  </si>
  <si>
    <t>Standard Thickness</t>
  </si>
  <si>
    <t>Standard Diameter</t>
  </si>
  <si>
    <t>S</t>
  </si>
  <si>
    <t>Mpa</t>
  </si>
  <si>
    <t>Standard DN</t>
  </si>
  <si>
    <t>T</t>
  </si>
  <si>
    <t>Schedule No.</t>
  </si>
  <si>
    <t>F</t>
  </si>
  <si>
    <t>Non Standard non commercial</t>
  </si>
  <si>
    <t>D</t>
  </si>
  <si>
    <t>Plain End Weight (Mass)</t>
  </si>
  <si>
    <t>lb/ft (kg/m)</t>
  </si>
  <si>
    <t>P</t>
  </si>
  <si>
    <t>kPa</t>
  </si>
  <si>
    <t>E</t>
  </si>
  <si>
    <t>CA</t>
  </si>
  <si>
    <t>REFERENCE ASME TABLES AND STANDARDS</t>
  </si>
  <si>
    <t xml:space="preserve">Design Factor </t>
  </si>
  <si>
    <t>Location Class 1, Division 1</t>
  </si>
  <si>
    <t>Location Class 1, Division 2</t>
  </si>
  <si>
    <t>Location Class 2</t>
  </si>
  <si>
    <t>Location Class 3</t>
  </si>
  <si>
    <t>Location Class 4</t>
  </si>
  <si>
    <t>Longitudinal Joint Factor</t>
  </si>
  <si>
    <t>Seamless</t>
  </si>
  <si>
    <t>Electric Weld</t>
  </si>
  <si>
    <t>Formula used</t>
  </si>
  <si>
    <t>Temperature, F ©</t>
  </si>
  <si>
    <t>250 (121)</t>
  </si>
  <si>
    <t>300 (149)</t>
  </si>
  <si>
    <t>350 (177)</t>
  </si>
  <si>
    <t>400 (204)</t>
  </si>
  <si>
    <t>450 (232)</t>
  </si>
  <si>
    <t>Column1</t>
  </si>
  <si>
    <t>Column2</t>
  </si>
  <si>
    <t>Column3</t>
  </si>
  <si>
    <t>Column4</t>
  </si>
  <si>
    <t>Column5</t>
  </si>
  <si>
    <t>Column6</t>
  </si>
  <si>
    <t>Column8</t>
  </si>
  <si>
    <t>Column92</t>
  </si>
  <si>
    <t>Column10</t>
  </si>
  <si>
    <t>Column7</t>
  </si>
  <si>
    <t>Thickness CL</t>
  </si>
  <si>
    <t>Thickness</t>
  </si>
  <si>
    <t>NPS
(DN)</t>
  </si>
  <si>
    <t>Identification
[Note (1)]</t>
  </si>
  <si>
    <t>Schedule
No.</t>
  </si>
  <si>
    <t>Outside
Diameter,
in.(mm)</t>
  </si>
  <si>
    <t>Wall
Thickness,
in.(mm)</t>
  </si>
  <si>
    <t>PlainEnd
Weight(Mass),
lb/ft(kg/m)</t>
  </si>
  <si>
    <t>Filtered Diameter</t>
  </si>
  <si>
    <t>Thickness diffference</t>
  </si>
  <si>
    <t>Thickness diff refined</t>
  </si>
  <si>
    <t>Upper Search range Diameter</t>
  </si>
  <si>
    <t>^{1} ∕_{8} (6)</t>
  </si>
  <si>
    <t>…</t>
  </si>
  <si>
    <t>10</t>
  </si>
  <si>
    <t>0.405(10.3)</t>
  </si>
  <si>
    <t>0.049(1.24)</t>
  </si>
  <si>
    <t>Lower Search range Diameter</t>
  </si>
  <si>
    <t>30</t>
  </si>
  <si>
    <t>0.057(1.45)</t>
  </si>
  <si>
    <t>Minimum diff "t"</t>
  </si>
  <si>
    <t>STD</t>
  </si>
  <si>
    <t>40</t>
  </si>
  <si>
    <t>0.068(1.73)</t>
  </si>
  <si>
    <t>XS</t>
  </si>
  <si>
    <t>80</t>
  </si>
  <si>
    <t>0.095(2.41)</t>
  </si>
  <si>
    <t>160</t>
  </si>
  <si>
    <t>0.124(3.15)</t>
  </si>
  <si>
    <t>XXS</t>
  </si>
  <si>
    <t>0.190(4.83)</t>
  </si>
  <si>
    <t>^{1} ∕_{4} (8)</t>
  </si>
  <si>
    <t>0.540(13.7)</t>
  </si>
  <si>
    <t>0.065(1.65)</t>
  </si>
  <si>
    <t>0.073(1.85)</t>
  </si>
  <si>
    <t>0.088(2.24)</t>
  </si>
  <si>
    <t>0.119(3.02)</t>
  </si>
  <si>
    <t>DN</t>
  </si>
  <si>
    <t>Weight</t>
  </si>
  <si>
    <t>0.145(3.68)</t>
  </si>
  <si>
    <t>ASME thickness</t>
  </si>
  <si>
    <t>0.238(6.05)</t>
  </si>
  <si>
    <t>Error check for standards</t>
  </si>
  <si>
    <t>^{3} ∕_{8} (10)</t>
  </si>
  <si>
    <t>0.675(17.1)</t>
  </si>
  <si>
    <t>Schedule No.(Std check)</t>
  </si>
  <si>
    <t>0.091(2.31)</t>
  </si>
  <si>
    <t>0.126(3.20)</t>
  </si>
  <si>
    <t>0.158(4.01)</t>
  </si>
  <si>
    <t>0.252(6.40)</t>
  </si>
  <si>
    <t>^{1} ∕_{2} (15)</t>
  </si>
  <si>
    <t>5</t>
  </si>
  <si>
    <t>0.840(21.3)</t>
  </si>
  <si>
    <t>0.083(2.11)</t>
  </si>
  <si>
    <t>0.109(2.77)</t>
  </si>
  <si>
    <t>0.147(3.73)</t>
  </si>
  <si>
    <t>0.188(4.78)</t>
  </si>
  <si>
    <t>0.294(7.47)</t>
  </si>
  <si>
    <t>^{3} ∕_{4} (20)</t>
  </si>
  <si>
    <t>1.050(26.7)</t>
  </si>
  <si>
    <t>0.113(2.87)</t>
  </si>
  <si>
    <t>0.154(3.91)</t>
  </si>
  <si>
    <t>0.219(5.56)</t>
  </si>
  <si>
    <t>0.308(7.82)</t>
  </si>
  <si>
    <t>1(25)</t>
  </si>
  <si>
    <t>1.315(33.4)</t>
  </si>
  <si>
    <t>0.114(2.90)</t>
  </si>
  <si>
    <t>0.133(3.38)</t>
  </si>
  <si>
    <t>0.179(4.55)</t>
  </si>
  <si>
    <t>0.250(6.35)</t>
  </si>
  <si>
    <t>0.358(9.09)</t>
  </si>
  <si>
    <t>1^{1} ∕_{4} (32)</t>
  </si>
  <si>
    <t>1.660(42.2)</t>
  </si>
  <si>
    <t>0.117(2.97)</t>
  </si>
  <si>
    <t>0.140(3.56)</t>
  </si>
  <si>
    <t>0.191(4.85)</t>
  </si>
  <si>
    <t>0.382(9.70)</t>
  </si>
  <si>
    <t>1^{1} ∕_{2} (40)</t>
  </si>
  <si>
    <t>1.900(48.3)</t>
  </si>
  <si>
    <t>0.125(3.18)</t>
  </si>
  <si>
    <t>0.200(5.08)</t>
  </si>
  <si>
    <t>0.281(7.14)</t>
  </si>
  <si>
    <t>0.400(10.15)</t>
  </si>
  <si>
    <t>2(50)</t>
  </si>
  <si>
    <t>2.375(60.3)</t>
  </si>
  <si>
    <t>0.141(3.58)</t>
  </si>
  <si>
    <t>0.172(4.37)</t>
  </si>
  <si>
    <t>0.218(5.54)</t>
  </si>
  <si>
    <t>0.344(8.74)</t>
  </si>
  <si>
    <t>0.436(11.07)</t>
  </si>
  <si>
    <t>2^{1} ∕_{2} (65)</t>
  </si>
  <si>
    <t>2.875(73.0)</t>
  </si>
  <si>
    <t>0.120(3.05)</t>
  </si>
  <si>
    <t>0.156(3.96)</t>
  </si>
  <si>
    <t>0.203(5.16)</t>
  </si>
  <si>
    <t>0.216(5.49)</t>
  </si>
  <si>
    <t>0.276(7.01)</t>
  </si>
  <si>
    <t>0.375(9.53)</t>
  </si>
  <si>
    <t>0.552(14.02)</t>
  </si>
  <si>
    <t>3(80)</t>
  </si>
  <si>
    <t>3.500(88.9)</t>
  </si>
  <si>
    <t>0.300(7.62)</t>
  </si>
  <si>
    <t>0.438(11.13)</t>
  </si>
  <si>
    <t>0.600(15.24)</t>
  </si>
  <si>
    <t>3^{1} ∕_{2} (90)</t>
  </si>
  <si>
    <t>4.000(101.6)</t>
  </si>
  <si>
    <t>0.226(5.74)</t>
  </si>
  <si>
    <t>0.318(8.08)</t>
  </si>
  <si>
    <t>4(100)</t>
  </si>
  <si>
    <t>4.500(114.3)</t>
  </si>
  <si>
    <t>0.237(6.02)</t>
  </si>
  <si>
    <t>0.312(7.92)</t>
  </si>
  <si>
    <t>0.337(8.56)</t>
  </si>
  <si>
    <t>120</t>
  </si>
  <si>
    <t>0.531(13.49)</t>
  </si>
  <si>
    <t>0.674(17.12)</t>
  </si>
  <si>
    <t>5(125)</t>
  </si>
  <si>
    <t>5.563(141.3)</t>
  </si>
  <si>
    <t>0.134(3.40)</t>
  </si>
  <si>
    <t>0.258(6.55)</t>
  </si>
  <si>
    <t>0.500(12.70)</t>
  </si>
  <si>
    <t>0.625(15.88)</t>
  </si>
  <si>
    <t>0.750(19.05)</t>
  </si>
  <si>
    <t>6(150)</t>
  </si>
  <si>
    <t>6.625(168.3)</t>
  </si>
  <si>
    <t>0.280(7.11)</t>
  </si>
  <si>
    <t>0.432(10.97)</t>
  </si>
  <si>
    <t>0.562(14.27)</t>
  </si>
  <si>
    <t>0.719(18.26)</t>
  </si>
  <si>
    <t>0.864(21.95)</t>
  </si>
  <si>
    <t>0.875(22.23)</t>
  </si>
  <si>
    <t>8(200)</t>
  </si>
  <si>
    <t>8.625(219.1)</t>
  </si>
  <si>
    <t>0.148(3.76)</t>
  </si>
  <si>
    <t>20</t>
  </si>
  <si>
    <t>0.277(7.04)</t>
  </si>
  <si>
    <t>0.322(8.18)</t>
  </si>
  <si>
    <t>60</t>
  </si>
  <si>
    <t>0.406(10.31)</t>
  </si>
  <si>
    <t>100</t>
  </si>
  <si>
    <t>0.594(15.09)</t>
  </si>
  <si>
    <t>140</t>
  </si>
  <si>
    <t>0.812(20.62)</t>
  </si>
  <si>
    <t>0.906(23.01)</t>
  </si>
  <si>
    <t>1.000(25.40)</t>
  </si>
  <si>
    <t>10(250)</t>
  </si>
  <si>
    <t>10.750(273.0)</t>
  </si>
  <si>
    <t>0.165(4.19)</t>
  </si>
  <si>
    <t>0.279(7.09)</t>
  </si>
  <si>
    <t>0.307(7.80)</t>
  </si>
  <si>
    <t>0.365(9.27)</t>
  </si>
  <si>
    <t>0.844(21.44)</t>
  </si>
  <si>
    <t>0.938(23.83)</t>
  </si>
  <si>
    <t>1.125(28.58)</t>
  </si>
  <si>
    <t>1.250(31.75)</t>
  </si>
  <si>
    <t>12(300)</t>
  </si>
  <si>
    <t>12.750(323.8)</t>
  </si>
  <si>
    <t>0.180(4.57)</t>
  </si>
  <si>
    <t>0.330(8.38)</t>
  </si>
  <si>
    <t>0.688(17.48)</t>
  </si>
  <si>
    <t>1.062(26.97)</t>
  </si>
  <si>
    <t>1.312(33.32)</t>
  </si>
  <si>
    <t>14(350)</t>
  </si>
  <si>
    <t>14.000(355.6)</t>
  </si>
  <si>
    <t>0.210(5.33)</t>
  </si>
  <si>
    <t>0.469(11.91)</t>
  </si>
  <si>
    <t>1.094(27.79)</t>
  </si>
  <si>
    <t>1.406(35.71)</t>
  </si>
  <si>
    <t>2.000(50.80)</t>
  </si>
  <si>
    <t>2.125(53.98)</t>
  </si>
  <si>
    <t>2.200(55.88)</t>
  </si>
  <si>
    <t>2.500(63.50)</t>
  </si>
  <si>
    <t>16(400)</t>
  </si>
  <si>
    <t>16.000(406.4)</t>
  </si>
  <si>
    <t>0.656(16.66)</t>
  </si>
  <si>
    <t>1.031(26.19)</t>
  </si>
  <si>
    <t>1.188(30.18)</t>
  </si>
  <si>
    <t>1.219(30.96)</t>
  </si>
  <si>
    <t>1.438(36.53)</t>
  </si>
  <si>
    <t>1.594(40.49)</t>
  </si>
  <si>
    <t>18(450)</t>
  </si>
  <si>
    <t>18.000(457)</t>
  </si>
  <si>
    <t>1.156(29.36)</t>
  </si>
  <si>
    <t>1.375(34.93)</t>
  </si>
  <si>
    <t>1.562(39.67)</t>
  </si>
  <si>
    <t>1.781(45.24)</t>
  </si>
  <si>
    <t>20(500)</t>
  </si>
  <si>
    <t>20.000(508)</t>
  </si>
  <si>
    <t>1.281(32.54)</t>
  </si>
  <si>
    <t>1.500(38.10)</t>
  </si>
  <si>
    <t>1.750(44.45)</t>
  </si>
  <si>
    <t>1.969(50.01)</t>
  </si>
  <si>
    <t>22(550)</t>
  </si>
  <si>
    <t>22.000(559)</t>
  </si>
  <si>
    <t>1.625(41.28)</t>
  </si>
  <si>
    <t>1.875(47.63)</t>
  </si>
  <si>
    <t>24(600)</t>
  </si>
  <si>
    <t>24.000(610)</t>
  </si>
  <si>
    <t>0.969(24.61)</t>
  </si>
  <si>
    <t>1.531(38.89)</t>
  </si>
  <si>
    <t>1.812(46.02)</t>
  </si>
  <si>
    <t>2.062(52.37)</t>
  </si>
  <si>
    <t>2.344(59.54)</t>
  </si>
  <si>
    <t>26(650)</t>
  </si>
  <si>
    <t>26.000(660)</t>
  </si>
  <si>
    <t>28(700)</t>
  </si>
  <si>
    <t>28.000(711)</t>
  </si>
  <si>
    <t>30(750)</t>
  </si>
  <si>
    <t>30.000(762)</t>
  </si>
  <si>
    <t>32(800)</t>
  </si>
  <si>
    <t>32.000(813)</t>
  </si>
  <si>
    <t>34(850)</t>
  </si>
  <si>
    <t>34.000(864)</t>
  </si>
  <si>
    <t>36(900)</t>
  </si>
  <si>
    <t>36.000(914)</t>
  </si>
  <si>
    <t>38(950)</t>
  </si>
  <si>
    <t>38.000(965)</t>
  </si>
  <si>
    <t>40(1000)</t>
  </si>
  <si>
    <t>40.000(1016)</t>
  </si>
  <si>
    <t>42(1050)</t>
  </si>
  <si>
    <t>42.000(1067)</t>
  </si>
  <si>
    <t>44(1100)</t>
  </si>
  <si>
    <t>44.000(1118)</t>
  </si>
  <si>
    <t>46(1150)</t>
  </si>
  <si>
    <t>46.000(1168)</t>
  </si>
  <si>
    <t>48(1200)</t>
  </si>
  <si>
    <t>48.000(1219)</t>
  </si>
  <si>
    <t>52(1300)</t>
  </si>
  <si>
    <t>52.000(1321)</t>
  </si>
  <si>
    <t>56(1400)</t>
  </si>
  <si>
    <t>56.000(1422)</t>
  </si>
  <si>
    <t>60(1500)</t>
  </si>
  <si>
    <t>60.000(1524)</t>
  </si>
  <si>
    <t>64(1600)</t>
  </si>
  <si>
    <t>64.000(1626)</t>
  </si>
  <si>
    <t>68(1700)</t>
  </si>
  <si>
    <t>68.000(1727)</t>
  </si>
  <si>
    <t>72(1800)</t>
  </si>
  <si>
    <t>72.000(1829)</t>
  </si>
  <si>
    <t>76(1900)</t>
  </si>
  <si>
    <t>76.000(1930)</t>
  </si>
  <si>
    <t>80(2000)</t>
  </si>
  <si>
    <t>80.000(2032)</t>
  </si>
  <si>
    <t>Max Operating Pressure (MC)</t>
  </si>
  <si>
    <t>Internal Diameter (mm)</t>
  </si>
  <si>
    <t>External Diameter (mm)</t>
  </si>
  <si>
    <t xml:space="preserve">Pipe Material </t>
  </si>
  <si>
    <t xml:space="preserve">Select Grade </t>
  </si>
  <si>
    <t>Mechanical Calculations</t>
  </si>
  <si>
    <t>Cost Estimation</t>
  </si>
  <si>
    <t>Construction Cost Rate</t>
  </si>
  <si>
    <t>Calculated Thickness</t>
  </si>
  <si>
    <t xml:space="preserve">Thickness is standard Commercial, If Schedule No. appears. </t>
  </si>
  <si>
    <t>While "…." represents non-standard commercial Thickness value.</t>
  </si>
  <si>
    <t>GIS Factors Incorporation</t>
  </si>
  <si>
    <t>Effect of Soil</t>
  </si>
  <si>
    <t>Type of soil</t>
  </si>
  <si>
    <t>Corresponding Factor</t>
  </si>
  <si>
    <t>Effect of Roads</t>
  </si>
  <si>
    <t>Type of road</t>
  </si>
  <si>
    <t>No. of crossings</t>
  </si>
  <si>
    <t>Type of stream</t>
  </si>
  <si>
    <t>Effect of Streams</t>
  </si>
  <si>
    <t>Canal</t>
  </si>
  <si>
    <t>Length along the route (m)</t>
  </si>
  <si>
    <t>Construction Cost ($/m)</t>
  </si>
  <si>
    <t>Associated Cost ($)</t>
  </si>
  <si>
    <t>Total</t>
  </si>
  <si>
    <t>Total GIS Cost</t>
  </si>
  <si>
    <t>S (Required Units)</t>
  </si>
  <si>
    <r>
      <t>Allowable Pressure Drop (-</t>
    </r>
    <r>
      <rPr>
        <sz val="11"/>
        <color theme="1"/>
        <rFont val="Calibri"/>
        <family val="2"/>
      </rPr>
      <t>∆</t>
    </r>
    <r>
      <rPr>
        <sz val="11"/>
        <color theme="1"/>
        <rFont val="Calibri"/>
        <family val="2"/>
        <scheme val="minor"/>
      </rPr>
      <t>P)</t>
    </r>
  </si>
  <si>
    <t>kg/m</t>
  </si>
  <si>
    <t>Pipeline Design Automation Project (User Interface)</t>
  </si>
  <si>
    <t>Allowable Drop (∆P)</t>
  </si>
  <si>
    <r>
      <rPr>
        <b/>
        <sz val="14"/>
        <color theme="1"/>
        <rFont val="Calibri"/>
        <family val="2"/>
        <scheme val="minor"/>
      </rPr>
      <t>INPUT TO QGIS MODULE</t>
    </r>
    <r>
      <rPr>
        <sz val="11"/>
        <color theme="1"/>
        <rFont val="Calibri"/>
        <family val="2"/>
        <scheme val="minor"/>
      </rPr>
      <t xml:space="preserve"> </t>
    </r>
  </si>
  <si>
    <t>List of Coordinates</t>
  </si>
  <si>
    <t>Digital Elevation Model</t>
  </si>
  <si>
    <t>Shapefile of Rivers</t>
  </si>
  <si>
    <t>Shapefile of Roads</t>
  </si>
  <si>
    <t>Longitude</t>
  </si>
  <si>
    <t>Latitude</t>
  </si>
  <si>
    <t>Elevation</t>
  </si>
  <si>
    <t>Soil Info</t>
  </si>
  <si>
    <t>Number of Roads</t>
  </si>
  <si>
    <t>Number of Rivers</t>
  </si>
  <si>
    <t>Length</t>
  </si>
  <si>
    <t>Area</t>
  </si>
  <si>
    <t>Summary of Project Results</t>
  </si>
  <si>
    <t>Project</t>
  </si>
  <si>
    <t>Project No.</t>
  </si>
  <si>
    <t>Checker</t>
  </si>
  <si>
    <t>Pipeline Design Automation</t>
  </si>
  <si>
    <t>Mr. Muhammad Khubaib</t>
  </si>
  <si>
    <t>Developer</t>
  </si>
  <si>
    <t>Approver</t>
  </si>
  <si>
    <t>Date</t>
  </si>
  <si>
    <t>Team 02</t>
  </si>
  <si>
    <t>Mr. Azam Shafique</t>
  </si>
  <si>
    <t>meter</t>
  </si>
  <si>
    <t>cubic meter/second</t>
  </si>
  <si>
    <t>One (01)</t>
  </si>
  <si>
    <t>Length of Route</t>
  </si>
  <si>
    <t>Allowable Del P</t>
  </si>
  <si>
    <t>Notable Outputs</t>
  </si>
  <si>
    <t>Calculated Diameter</t>
  </si>
  <si>
    <t>inch</t>
  </si>
  <si>
    <t>Standard Thickenss</t>
  </si>
  <si>
    <t>Max. Operating Pressure</t>
  </si>
  <si>
    <t>USD</t>
  </si>
  <si>
    <t>`</t>
  </si>
  <si>
    <t>VLookUp For Report Automation</t>
  </si>
  <si>
    <t>Flow rate to be mentioned</t>
  </si>
  <si>
    <t>Selected Type</t>
  </si>
  <si>
    <r>
      <t xml:space="preserve">Note: </t>
    </r>
    <r>
      <rPr>
        <sz val="12"/>
        <color theme="1"/>
        <rFont val="Cambria"/>
        <family val="1"/>
        <scheme val="major"/>
      </rPr>
      <t xml:space="preserve">Avoid abrupt reductions in Length input, i.e, from kms to below 100 m. </t>
    </r>
  </si>
  <si>
    <t>Trident Steel &amp; Engg. Co</t>
  </si>
  <si>
    <t>life cycle analysis for Oil</t>
  </si>
  <si>
    <t>unit conversion</t>
  </si>
  <si>
    <t xml:space="preserve">  m3/s to gal/min</t>
  </si>
  <si>
    <t xml:space="preserve">Pumping cost (PC) </t>
  </si>
  <si>
    <t>m to ft/1000 ft</t>
  </si>
  <si>
    <t>gpm</t>
  </si>
  <si>
    <t>$/kWh</t>
  </si>
  <si>
    <t>%/100</t>
  </si>
  <si>
    <t>Total Cycle  Cost</t>
  </si>
  <si>
    <t>cubic m/day to gpm</t>
  </si>
  <si>
    <t>Velocity(fps)</t>
  </si>
  <si>
    <t xml:space="preserve"> Flow rate (m3/s)</t>
  </si>
  <si>
    <t>Pipe length (m)</t>
  </si>
  <si>
    <t>Inlet Pressure (atm)</t>
  </si>
  <si>
    <t>Outlet Pressure (atm)</t>
  </si>
  <si>
    <t>Pressure drop (atm)</t>
  </si>
  <si>
    <t xml:space="preserve"> Velocity (gpm)</t>
  </si>
  <si>
    <t>Operation and Maintainance</t>
  </si>
  <si>
    <t xml:space="preserve">Non Standard non commercial </t>
  </si>
  <si>
    <t>Diameter (m)</t>
  </si>
  <si>
    <t>Del P</t>
  </si>
  <si>
    <t>Velocity</t>
  </si>
  <si>
    <t>Friction Factor</t>
  </si>
  <si>
    <t>Laminar</t>
  </si>
  <si>
    <t>Turbulent</t>
  </si>
  <si>
    <t>Head Loss</t>
  </si>
  <si>
    <t>hf</t>
  </si>
  <si>
    <t>Del P ( Std. Dia)</t>
  </si>
  <si>
    <t>Kpa</t>
  </si>
  <si>
    <t>Max Opt.</t>
  </si>
  <si>
    <t>Diameter (inner)</t>
  </si>
  <si>
    <t>Route Comparison</t>
  </si>
  <si>
    <t>Current Value</t>
  </si>
  <si>
    <t>Previous Value</t>
  </si>
  <si>
    <t>Route 02</t>
  </si>
  <si>
    <t>Route 01</t>
  </si>
  <si>
    <t>Chart Data</t>
  </si>
  <si>
    <t xml:space="preserve">Route 01 </t>
  </si>
  <si>
    <t>Maximum Operating Pressures</t>
  </si>
  <si>
    <t>Above Eq in Pic</t>
  </si>
  <si>
    <t>Below Eq in Pic</t>
  </si>
  <si>
    <t>Final Max P</t>
  </si>
  <si>
    <t>Max Opt. P to be mentioned</t>
  </si>
  <si>
    <t>Corrected Max. Operating Pressure</t>
  </si>
  <si>
    <t>F:\Internship at DTNEC\QGIS Pipeline\Excel automation\Excel files\Coordinates1.csv</t>
  </si>
  <si>
    <t>Shapefile of route</t>
  </si>
  <si>
    <t>Shapefile of Soil</t>
  </si>
  <si>
    <t>F:\Internship at DTNEC\QGIS Pipeline\DSMW\DSMW.shp</t>
  </si>
  <si>
    <t>F:\Internship at DTNEC\QGIS Pipeline\Shapefile of rivers\data\WatercourseLink.shp</t>
  </si>
  <si>
    <t>F:\Internship at DTNEC\QGIS Pipeline\Shapefile of roads\data\RoadLink</t>
  </si>
  <si>
    <t>List of coordinates script</t>
  </si>
  <si>
    <t>F:\Internship at DTNEC\QGIS Pipeline\Excel automation\Excel files\List_of_coordinates_run.py</t>
  </si>
  <si>
    <t>Length and elevation script</t>
  </si>
  <si>
    <t>F:\Internship at DTNEC\QGIS Pipeline\Excel automation\Excel files\Length_elevation_shapefile_new.py</t>
  </si>
  <si>
    <t>River script</t>
  </si>
  <si>
    <t>F:\Internship at DTNEC\QGIS Pipeline\Excel automation\Excel files\Rivers_new.py</t>
  </si>
  <si>
    <t>Road script</t>
  </si>
  <si>
    <t>F:\Internship at DTNEC\QGIS Pipeline\Excel automation\Excel files\Roads_new.py</t>
  </si>
  <si>
    <t>Soil info script</t>
  </si>
  <si>
    <t>F:\Internship at DTNEC\QGIS Pipeline\Excel automation\Excel files\soil_info_run.py</t>
  </si>
  <si>
    <r>
      <rPr>
        <b/>
        <sz val="14"/>
        <color theme="1"/>
        <rFont val="Calibri"/>
        <family val="2"/>
        <scheme val="minor"/>
      </rPr>
      <t>OUTPUT OF QGIS MODULE</t>
    </r>
    <r>
      <rPr>
        <sz val="11"/>
        <color theme="1"/>
        <rFont val="Calibri"/>
        <family val="2"/>
        <scheme val="minor"/>
      </rPr>
      <t xml:space="preserve"> </t>
    </r>
  </si>
  <si>
    <t>Dominant Soil type</t>
  </si>
  <si>
    <t>% of Dominant Soil type</t>
  </si>
  <si>
    <t>Type of Road</t>
  </si>
  <si>
    <t>Number Crossing</t>
  </si>
  <si>
    <t>Type of River</t>
  </si>
  <si>
    <t>Number of crossings</t>
  </si>
  <si>
    <t>Lc</t>
  </si>
  <si>
    <t>A Road</t>
  </si>
  <si>
    <t>canal</t>
  </si>
  <si>
    <t>Ge</t>
  </si>
  <si>
    <t>B Road</t>
  </si>
  <si>
    <t>inlandRiver</t>
  </si>
  <si>
    <t>Po</t>
  </si>
  <si>
    <t>Classified Unnumbered</t>
  </si>
  <si>
    <t>tidalRiver</t>
  </si>
  <si>
    <t>Motorway</t>
  </si>
  <si>
    <t>Not Classified</t>
  </si>
  <si>
    <t>Unclassified</t>
  </si>
  <si>
    <t>Unknown</t>
  </si>
  <si>
    <t>Inland River</t>
  </si>
  <si>
    <t>Tidal River</t>
  </si>
  <si>
    <t>(A) class road</t>
  </si>
  <si>
    <t>(B) class road</t>
  </si>
  <si>
    <t>local road (not classified)</t>
  </si>
  <si>
    <t>local (unclassified)</t>
  </si>
  <si>
    <t>Time needed for job</t>
  </si>
  <si>
    <t>hrs</t>
  </si>
  <si>
    <t>Total cost of construction</t>
  </si>
  <si>
    <t>years cycle cost (25)</t>
  </si>
  <si>
    <t>Running cost + maintaince cost</t>
  </si>
  <si>
    <t>UNIT Transport Cost</t>
  </si>
  <si>
    <t xml:space="preserve">m to km </t>
  </si>
  <si>
    <t>km</t>
  </si>
  <si>
    <t>Total  Cost</t>
  </si>
  <si>
    <t xml:space="preserve">Total pipeline project cost </t>
  </si>
  <si>
    <t>1</t>
  </si>
  <si>
    <t>24</t>
  </si>
  <si>
    <t>C:\Users\zeesh\Downloads\test_file\test_file\a.shp</t>
  </si>
  <si>
    <t>C:\Users\zeesh\Downloads\test_file\test_file\A1.tif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</si>
</sst>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&quot;$&quot;#,##0.00;\-&quot;$&quot;#,##0.00"/>
    <numFmt numFmtId="166" formatCode="0.000"/>
    <numFmt numFmtId="167" formatCode="&quot;$&quot;#,##0.0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vertAlign val="superscript"/>
      <sz val="1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1"/>
      <color rgb="FF00206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Narkisim"/>
      <family val="2"/>
      <charset val="177"/>
    </font>
    <font>
      <b/>
      <sz val="14"/>
      <color theme="1"/>
      <name val="Calibri"/>
      <family val="2"/>
      <scheme val="minor"/>
    </font>
    <font>
      <b/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18"/>
      <color theme="3"/>
      <name val="Cambria"/>
      <family val="2"/>
      <scheme val="major"/>
    </font>
    <font>
      <b/>
      <sz val="16"/>
      <color theme="3"/>
      <name val="Cambria"/>
      <family val="1"/>
      <scheme val="major"/>
    </font>
    <font>
      <b/>
      <sz val="22"/>
      <color theme="3"/>
      <name val="Cambria"/>
      <family val="2"/>
      <scheme val="major"/>
    </font>
    <font>
      <b/>
      <sz val="11"/>
      <color theme="3"/>
      <name val="Cambria"/>
      <family val="1"/>
      <scheme val="major"/>
    </font>
    <font>
      <sz val="12"/>
      <color theme="1"/>
      <name val="Cambria"/>
      <family val="1"/>
      <scheme val="major"/>
    </font>
    <font>
      <sz val="11"/>
      <color rgb="FF000000"/>
      <name val="Calibri"/>
      <charset val="134"/>
    </font>
    <font>
      <b/>
      <i/>
      <u/>
      <sz val="18"/>
      <color rgb="FF000000"/>
      <name val="Adobe Myungjo Std M"/>
      <charset val="134"/>
    </font>
    <font>
      <b/>
      <sz val="11"/>
      <color rgb="FF000000"/>
      <name val="Calibri"/>
      <charset val="134"/>
    </font>
    <font>
      <b/>
      <sz val="11"/>
      <color rgb="FF000000"/>
      <name val="Calibri"/>
    </font>
    <font>
      <sz val="12"/>
      <color rgb="FF4D5156"/>
      <name val="Google Sans"/>
      <charset val="1"/>
    </font>
    <font>
      <b/>
      <sz val="11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b/>
      <i/>
      <u/>
      <sz val="24"/>
      <color rgb="FF000000"/>
      <name val="Browallia New"/>
      <family val="2"/>
      <charset val="222"/>
    </font>
  </fonts>
  <fills count="3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3" fillId="0" borderId="0">
      <alignment vertical="center"/>
    </xf>
    <xf numFmtId="0" fontId="24" fillId="0" borderId="0" applyNumberFormat="0" applyFill="0" applyBorder="0" applyAlignment="0" applyProtection="0"/>
    <xf numFmtId="44" fontId="35" fillId="0" borderId="0" applyFont="0" applyFill="0" applyBorder="0" applyAlignment="0" applyProtection="0"/>
  </cellStyleXfs>
  <cellXfs count="358">
    <xf numFmtId="0" fontId="0" fillId="0" borderId="0" xfId="0"/>
    <xf numFmtId="11" fontId="0" fillId="0" borderId="1" xfId="0" applyNumberFormat="1" applyBorder="1" applyAlignment="1">
      <alignment horizontal="center" vertical="center"/>
    </xf>
    <xf numFmtId="11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7" fillId="0" borderId="6" xfId="0" applyFont="1" applyBorder="1"/>
    <xf numFmtId="0" fontId="0" fillId="0" borderId="8" xfId="0" applyBorder="1" applyAlignment="1">
      <alignment horizontal="center" vertical="center"/>
    </xf>
    <xf numFmtId="0" fontId="0" fillId="0" borderId="6" xfId="0" applyBorder="1"/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11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/>
    <xf numFmtId="0" fontId="0" fillId="0" borderId="17" xfId="0" applyBorder="1"/>
    <xf numFmtId="0" fontId="3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3" fillId="0" borderId="16" xfId="0" applyFont="1" applyBorder="1"/>
    <xf numFmtId="0" fontId="3" fillId="0" borderId="12" xfId="0" applyFont="1" applyBorder="1"/>
    <xf numFmtId="0" fontId="3" fillId="0" borderId="13" xfId="0" applyFont="1" applyBorder="1"/>
    <xf numFmtId="0" fontId="0" fillId="0" borderId="21" xfId="0" applyBorder="1" applyAlignment="1">
      <alignment horizontal="center" vertic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8" fillId="3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2" fontId="0" fillId="0" borderId="23" xfId="0" applyNumberFormat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164" fontId="0" fillId="0" borderId="11" xfId="0" applyNumberFormat="1" applyBorder="1" applyAlignment="1">
      <alignment horizontal="center" vertical="center"/>
    </xf>
    <xf numFmtId="11" fontId="0" fillId="3" borderId="11" xfId="0" applyNumberForma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13" fillId="13" borderId="1" xfId="1" applyFill="1" applyBorder="1" applyAlignment="1">
      <alignment horizontal="center" vertical="center"/>
    </xf>
    <xf numFmtId="0" fontId="13" fillId="0" borderId="0" xfId="1">
      <alignment vertical="center"/>
    </xf>
    <xf numFmtId="0" fontId="13" fillId="14" borderId="1" xfId="1" applyFill="1" applyBorder="1" applyAlignment="1">
      <alignment horizontal="center" vertical="center"/>
    </xf>
    <xf numFmtId="0" fontId="15" fillId="16" borderId="1" xfId="1" applyFont="1" applyFill="1" applyBorder="1" applyAlignment="1" applyProtection="1">
      <alignment horizontal="center" vertical="center"/>
      <protection locked="0"/>
    </xf>
    <xf numFmtId="0" fontId="13" fillId="14" borderId="0" xfId="1" applyFill="1" applyAlignment="1">
      <alignment horizontal="center" vertical="center"/>
    </xf>
    <xf numFmtId="0" fontId="16" fillId="0" borderId="16" xfId="1" applyFont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0" fontId="13" fillId="17" borderId="1" xfId="1" applyFill="1" applyBorder="1" applyAlignment="1">
      <alignment horizontal="center" vertical="center"/>
    </xf>
    <xf numFmtId="0" fontId="13" fillId="0" borderId="36" xfId="1" applyBorder="1" applyAlignment="1">
      <alignment horizontal="center" vertical="center"/>
    </xf>
    <xf numFmtId="0" fontId="13" fillId="17" borderId="37" xfId="1" applyFill="1" applyBorder="1" applyAlignment="1">
      <alignment horizontal="center" vertical="center"/>
    </xf>
    <xf numFmtId="0" fontId="13" fillId="0" borderId="38" xfId="1" applyBorder="1" applyAlignment="1">
      <alignment horizontal="center" vertical="center"/>
    </xf>
    <xf numFmtId="0" fontId="13" fillId="18" borderId="0" xfId="1" applyFill="1" applyAlignment="1">
      <alignment horizontal="center" vertical="center"/>
    </xf>
    <xf numFmtId="0" fontId="13" fillId="18" borderId="1" xfId="1" applyFill="1" applyBorder="1" applyAlignment="1">
      <alignment horizontal="center" vertical="center"/>
    </xf>
    <xf numFmtId="44" fontId="13" fillId="18" borderId="1" xfId="1" applyNumberFormat="1" applyFill="1" applyBorder="1" applyAlignment="1">
      <alignment horizontal="center" vertical="center"/>
    </xf>
    <xf numFmtId="0" fontId="13" fillId="20" borderId="0" xfId="1" applyFill="1" applyAlignment="1">
      <alignment horizontal="center" vertical="center"/>
    </xf>
    <xf numFmtId="0" fontId="13" fillId="0" borderId="0" xfId="1" applyAlignment="1">
      <alignment horizontal="center" vertical="center"/>
    </xf>
    <xf numFmtId="0" fontId="13" fillId="0" borderId="1" xfId="1" applyBorder="1" applyAlignment="1">
      <alignment horizontal="center" vertical="center"/>
    </xf>
    <xf numFmtId="0" fontId="13" fillId="22" borderId="0" xfId="1" applyFill="1">
      <alignment vertical="center"/>
    </xf>
    <xf numFmtId="0" fontId="3" fillId="2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2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8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26" borderId="1" xfId="0" applyNumberForma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3" fillId="0" borderId="0" xfId="0" applyNumberFormat="1" applyFont="1" applyAlignment="1">
      <alignment horizontal="center"/>
    </xf>
    <xf numFmtId="0" fontId="0" fillId="9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3" fillId="27" borderId="1" xfId="0" applyFont="1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17" borderId="0" xfId="1" applyFont="1" applyFill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13" fillId="0" borderId="0" xfId="1" applyNumberFormat="1">
      <alignment vertical="center"/>
    </xf>
    <xf numFmtId="0" fontId="13" fillId="0" borderId="6" xfId="1" applyBorder="1">
      <alignment vertical="center"/>
    </xf>
    <xf numFmtId="0" fontId="13" fillId="0" borderId="7" xfId="1" applyBorder="1">
      <alignment vertical="center"/>
    </xf>
    <xf numFmtId="0" fontId="13" fillId="0" borderId="16" xfId="1" applyBorder="1">
      <alignment vertical="center"/>
    </xf>
    <xf numFmtId="0" fontId="13" fillId="0" borderId="12" xfId="1" applyBorder="1">
      <alignment vertical="center"/>
    </xf>
    <xf numFmtId="0" fontId="3" fillId="0" borderId="12" xfId="1" applyFont="1" applyBorder="1" applyAlignment="1">
      <alignment horizontal="center" vertical="center"/>
    </xf>
    <xf numFmtId="0" fontId="13" fillId="0" borderId="13" xfId="1" applyBorder="1">
      <alignment vertical="center"/>
    </xf>
    <xf numFmtId="0" fontId="3" fillId="0" borderId="13" xfId="0" applyFont="1" applyBorder="1" applyAlignment="1">
      <alignment horizontal="center" vertical="center"/>
    </xf>
    <xf numFmtId="2" fontId="0" fillId="12" borderId="1" xfId="0" applyNumberFormat="1" applyFill="1" applyBorder="1" applyAlignment="1">
      <alignment horizontal="center"/>
    </xf>
    <xf numFmtId="2" fontId="0" fillId="12" borderId="34" xfId="0" applyNumberFormat="1" applyFill="1" applyBorder="1" applyAlignment="1">
      <alignment horizontal="center"/>
    </xf>
    <xf numFmtId="2" fontId="0" fillId="26" borderId="1" xfId="0" applyNumberFormat="1" applyFill="1" applyBorder="1" applyAlignment="1">
      <alignment horizontal="center"/>
    </xf>
    <xf numFmtId="0" fontId="3" fillId="0" borderId="1" xfId="1" applyFont="1" applyBorder="1">
      <alignment vertical="center"/>
    </xf>
    <xf numFmtId="0" fontId="0" fillId="0" borderId="1" xfId="1" applyFont="1" applyBorder="1">
      <alignment vertical="center"/>
    </xf>
    <xf numFmtId="0" fontId="13" fillId="0" borderId="1" xfId="1" applyBorder="1">
      <alignment vertical="center"/>
    </xf>
    <xf numFmtId="0" fontId="13" fillId="29" borderId="1" xfId="1" applyFill="1" applyBorder="1">
      <alignment vertical="center"/>
    </xf>
    <xf numFmtId="2" fontId="13" fillId="0" borderId="1" xfId="1" applyNumberFormat="1" applyBorder="1">
      <alignment vertical="center"/>
    </xf>
    <xf numFmtId="44" fontId="13" fillId="9" borderId="39" xfId="1" applyNumberFormat="1" applyFill="1" applyBorder="1">
      <alignment vertical="center"/>
    </xf>
    <xf numFmtId="0" fontId="3" fillId="0" borderId="40" xfId="1" applyFont="1" applyBorder="1" applyAlignment="1">
      <alignment horizontal="center" vertical="center"/>
    </xf>
    <xf numFmtId="44" fontId="13" fillId="5" borderId="39" xfId="1" applyNumberFormat="1" applyFill="1" applyBorder="1">
      <alignment vertical="center"/>
    </xf>
    <xf numFmtId="0" fontId="3" fillId="0" borderId="9" xfId="1" applyFont="1" applyBorder="1">
      <alignment vertical="center"/>
    </xf>
    <xf numFmtId="164" fontId="13" fillId="0" borderId="9" xfId="1" applyNumberFormat="1" applyBorder="1">
      <alignment vertical="center"/>
    </xf>
    <xf numFmtId="164" fontId="13" fillId="0" borderId="41" xfId="1" applyNumberFormat="1" applyBorder="1">
      <alignment vertical="center"/>
    </xf>
    <xf numFmtId="0" fontId="3" fillId="17" borderId="0" xfId="0" applyFont="1" applyFill="1"/>
    <xf numFmtId="0" fontId="3" fillId="18" borderId="0" xfId="0" applyFont="1" applyFill="1"/>
    <xf numFmtId="0" fontId="3" fillId="30" borderId="0" xfId="0" applyFont="1" applyFill="1"/>
    <xf numFmtId="0" fontId="3" fillId="16" borderId="0" xfId="0" applyFont="1" applyFill="1"/>
    <xf numFmtId="0" fontId="3" fillId="20" borderId="0" xfId="0" applyFont="1" applyFill="1"/>
    <xf numFmtId="0" fontId="3" fillId="26" borderId="0" xfId="0" applyFont="1" applyFill="1"/>
    <xf numFmtId="0" fontId="20" fillId="0" borderId="0" xfId="0" applyFont="1" applyAlignment="1">
      <alignment vertical="center"/>
    </xf>
    <xf numFmtId="0" fontId="21" fillId="0" borderId="1" xfId="0" applyFont="1" applyBorder="1" applyAlignment="1">
      <alignment horizontal="center"/>
    </xf>
    <xf numFmtId="14" fontId="21" fillId="0" borderId="1" xfId="0" applyNumberFormat="1" applyFont="1" applyBorder="1" applyAlignment="1">
      <alignment horizontal="center"/>
    </xf>
    <xf numFmtId="0" fontId="23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vertical="center"/>
    </xf>
    <xf numFmtId="2" fontId="28" fillId="0" borderId="0" xfId="0" applyNumberFormat="1" applyFont="1" applyAlignment="1">
      <alignment horizontal="center"/>
    </xf>
    <xf numFmtId="0" fontId="13" fillId="15" borderId="1" xfId="1" applyFill="1" applyBorder="1" applyAlignment="1">
      <alignment horizontal="center" vertical="center"/>
    </xf>
    <xf numFmtId="0" fontId="14" fillId="0" borderId="0" xfId="1" applyFont="1">
      <alignment vertical="center"/>
    </xf>
    <xf numFmtId="0" fontId="13" fillId="18" borderId="0" xfId="1" applyFill="1">
      <alignment vertical="center"/>
    </xf>
    <xf numFmtId="0" fontId="15" fillId="16" borderId="1" xfId="1" applyFont="1" applyFill="1" applyBorder="1" applyAlignment="1">
      <alignment horizontal="center" vertical="center"/>
    </xf>
    <xf numFmtId="0" fontId="13" fillId="0" borderId="14" xfId="1" applyBorder="1" applyAlignment="1">
      <alignment horizontal="center" vertical="center"/>
    </xf>
    <xf numFmtId="0" fontId="13" fillId="0" borderId="24" xfId="1" applyBorder="1" applyAlignment="1">
      <alignment horizontal="center" vertical="center"/>
    </xf>
    <xf numFmtId="0" fontId="13" fillId="0" borderId="31" xfId="1" applyBorder="1" applyAlignment="1">
      <alignment horizontal="center" vertical="center"/>
    </xf>
    <xf numFmtId="44" fontId="13" fillId="17" borderId="1" xfId="1" applyNumberFormat="1" applyFill="1" applyBorder="1" applyAlignment="1">
      <alignment horizontal="center" vertical="center"/>
    </xf>
    <xf numFmtId="0" fontId="13" fillId="13" borderId="0" xfId="1" applyFill="1">
      <alignment vertical="center"/>
    </xf>
    <xf numFmtId="44" fontId="13" fillId="13" borderId="1" xfId="1" applyNumberFormat="1" applyFill="1" applyBorder="1" applyAlignment="1">
      <alignment horizontal="center" vertical="center"/>
    </xf>
    <xf numFmtId="0" fontId="13" fillId="19" borderId="0" xfId="1" applyFill="1" applyAlignment="1">
      <alignment horizontal="center" vertical="center"/>
    </xf>
    <xf numFmtId="0" fontId="13" fillId="16" borderId="1" xfId="1" applyFill="1" applyBorder="1" applyAlignment="1">
      <alignment horizontal="center" vertical="center"/>
    </xf>
    <xf numFmtId="0" fontId="13" fillId="16" borderId="1" xfId="1" applyFill="1" applyBorder="1" applyAlignment="1" applyProtection="1">
      <alignment horizontal="center" vertical="center"/>
      <protection locked="0"/>
    </xf>
    <xf numFmtId="165" fontId="13" fillId="20" borderId="1" xfId="1" applyNumberForma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13" borderId="0" xfId="0" applyFont="1" applyFill="1"/>
    <xf numFmtId="11" fontId="29" fillId="0" borderId="0" xfId="0" applyNumberFormat="1" applyFont="1"/>
    <xf numFmtId="11" fontId="13" fillId="0" borderId="0" xfId="1" applyNumberFormat="1">
      <alignment vertical="center"/>
    </xf>
    <xf numFmtId="0" fontId="33" fillId="0" borderId="0" xfId="0" applyFont="1"/>
    <xf numFmtId="8" fontId="29" fillId="0" borderId="0" xfId="0" applyNumberFormat="1" applyFont="1"/>
    <xf numFmtId="8" fontId="13" fillId="0" borderId="0" xfId="1" applyNumberFormat="1">
      <alignment vertical="center"/>
    </xf>
    <xf numFmtId="0" fontId="13" fillId="21" borderId="0" xfId="1" applyFill="1">
      <alignment vertical="center"/>
    </xf>
    <xf numFmtId="167" fontId="28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10" borderId="6" xfId="0" applyFont="1" applyFill="1" applyBorder="1" applyAlignment="1">
      <alignment horizontal="center" vertical="center"/>
    </xf>
    <xf numFmtId="0" fontId="0" fillId="31" borderId="11" xfId="0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28" borderId="0" xfId="0" applyFill="1"/>
    <xf numFmtId="0" fontId="0" fillId="31" borderId="0" xfId="0" applyFill="1"/>
    <xf numFmtId="167" fontId="0" fillId="0" borderId="0" xfId="0" applyNumberFormat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0" fontId="0" fillId="32" borderId="0" xfId="0" applyFill="1"/>
    <xf numFmtId="0" fontId="3" fillId="33" borderId="0" xfId="0" applyFont="1" applyFill="1"/>
    <xf numFmtId="0" fontId="3" fillId="0" borderId="0" xfId="0" applyFont="1"/>
    <xf numFmtId="0" fontId="0" fillId="34" borderId="0" xfId="0" applyFill="1"/>
    <xf numFmtId="0" fontId="3" fillId="11" borderId="0" xfId="0" applyFont="1" applyFill="1"/>
    <xf numFmtId="0" fontId="3" fillId="11" borderId="0" xfId="0" applyFont="1" applyFill="1" applyAlignment="1">
      <alignment vertical="center"/>
    </xf>
    <xf numFmtId="0" fontId="3" fillId="35" borderId="0" xfId="0" applyFont="1" applyFill="1"/>
    <xf numFmtId="0" fontId="3" fillId="36" borderId="0" xfId="0" applyFont="1" applyFill="1"/>
    <xf numFmtId="0" fontId="3" fillId="0" borderId="0" xfId="1" applyFont="1" applyAlignment="1">
      <alignment horizontal="center" vertical="center"/>
    </xf>
    <xf numFmtId="44" fontId="13" fillId="14" borderId="1" xfId="3" applyFont="1" applyFill="1" applyBorder="1" applyAlignment="1">
      <alignment horizontal="center" vertical="center"/>
    </xf>
    <xf numFmtId="44" fontId="13" fillId="0" borderId="0" xfId="3" applyFont="1" applyAlignment="1">
      <alignment vertical="center"/>
    </xf>
    <xf numFmtId="44" fontId="13" fillId="0" borderId="0" xfId="3" applyFont="1" applyFill="1" applyAlignment="1">
      <alignment vertical="center"/>
    </xf>
    <xf numFmtId="0" fontId="13" fillId="17" borderId="0" xfId="1" applyFill="1" applyAlignment="1">
      <alignment horizontal="center" vertical="center"/>
    </xf>
    <xf numFmtId="0" fontId="13" fillId="17" borderId="0" xfId="1" applyFill="1" applyAlignment="1">
      <alignment horizontal="right" vertical="center"/>
    </xf>
    <xf numFmtId="0" fontId="0" fillId="0" borderId="0" xfId="1" applyFont="1">
      <alignment vertical="center"/>
    </xf>
    <xf numFmtId="0" fontId="13" fillId="3" borderId="1" xfId="1" applyFill="1" applyBorder="1" applyAlignment="1">
      <alignment horizontal="center" vertical="center"/>
    </xf>
    <xf numFmtId="0" fontId="13" fillId="37" borderId="0" xfId="1" applyFill="1">
      <alignment vertical="center"/>
    </xf>
    <xf numFmtId="44" fontId="13" fillId="3" borderId="1" xfId="1" applyNumberFormat="1" applyFill="1" applyBorder="1" applyAlignment="1">
      <alignment horizontal="center" vertical="center"/>
    </xf>
    <xf numFmtId="44" fontId="13" fillId="17" borderId="1" xfId="3" applyFont="1" applyFill="1" applyBorder="1" applyAlignment="1">
      <alignment horizontal="center" vertical="center"/>
    </xf>
    <xf numFmtId="44" fontId="13" fillId="38" borderId="0" xfId="1" applyNumberFormat="1" applyFill="1">
      <alignment vertical="center"/>
    </xf>
    <xf numFmtId="44" fontId="13" fillId="26" borderId="0" xfId="1" applyNumberFormat="1" applyFill="1">
      <alignment vertical="center"/>
    </xf>
    <xf numFmtId="44" fontId="13" fillId="13" borderId="0" xfId="1" applyNumberFormat="1" applyFill="1">
      <alignment vertical="center"/>
    </xf>
    <xf numFmtId="0" fontId="0" fillId="20" borderId="1" xfId="1" applyFont="1" applyFill="1" applyBorder="1" applyAlignment="1">
      <alignment horizontal="center" vertical="center"/>
    </xf>
    <xf numFmtId="0" fontId="36" fillId="0" borderId="0" xfId="1" applyFont="1">
      <alignment vertical="center"/>
    </xf>
    <xf numFmtId="0" fontId="0" fillId="13" borderId="0" xfId="1" applyFont="1" applyFill="1">
      <alignment vertical="center"/>
    </xf>
    <xf numFmtId="0" fontId="3" fillId="23" borderId="1" xfId="0" applyFont="1" applyFill="1" applyBorder="1" applyAlignment="1">
      <alignment horizontal="center"/>
    </xf>
    <xf numFmtId="0" fontId="18" fillId="10" borderId="3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18" fillId="10" borderId="16" xfId="0" applyFont="1" applyFill="1" applyBorder="1" applyAlignment="1">
      <alignment horizontal="center" vertical="center"/>
    </xf>
    <xf numFmtId="0" fontId="18" fillId="10" borderId="12" xfId="0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 wrapText="1"/>
    </xf>
    <xf numFmtId="0" fontId="17" fillId="10" borderId="3" xfId="0" applyFont="1" applyFill="1" applyBorder="1" applyAlignment="1">
      <alignment horizontal="center" vertical="center"/>
    </xf>
    <xf numFmtId="0" fontId="17" fillId="10" borderId="4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17" fillId="10" borderId="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6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7" fontId="2" fillId="11" borderId="1" xfId="0" applyNumberFormat="1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6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3" xfId="0" applyFont="1" applyFill="1" applyBorder="1" applyAlignment="1">
      <alignment horizontal="center" vertical="center"/>
    </xf>
    <xf numFmtId="0" fontId="3" fillId="23" borderId="4" xfId="0" applyFont="1" applyFill="1" applyBorder="1" applyAlignment="1">
      <alignment horizontal="center" vertical="center"/>
    </xf>
    <xf numFmtId="0" fontId="3" fillId="23" borderId="5" xfId="0" applyFont="1" applyFill="1" applyBorder="1" applyAlignment="1">
      <alignment horizontal="center" vertical="center"/>
    </xf>
    <xf numFmtId="0" fontId="3" fillId="23" borderId="16" xfId="0" applyFont="1" applyFill="1" applyBorder="1" applyAlignment="1">
      <alignment horizontal="center" vertical="center"/>
    </xf>
    <xf numFmtId="0" fontId="3" fillId="23" borderId="12" xfId="0" applyFont="1" applyFill="1" applyBorder="1" applyAlignment="1">
      <alignment horizontal="center" vertical="center"/>
    </xf>
    <xf numFmtId="0" fontId="3" fillId="23" borderId="13" xfId="0" applyFont="1" applyFill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20" fillId="5" borderId="0" xfId="0" applyFont="1" applyFill="1" applyAlignment="1">
      <alignment horizontal="center" vertical="center"/>
    </xf>
    <xf numFmtId="0" fontId="14" fillId="12" borderId="3" xfId="1" applyFont="1" applyFill="1" applyBorder="1" applyAlignment="1">
      <alignment horizontal="center" vertical="center"/>
    </xf>
    <xf numFmtId="0" fontId="14" fillId="12" borderId="5" xfId="1" applyFont="1" applyFill="1" applyBorder="1" applyAlignment="1">
      <alignment horizontal="center" vertical="center"/>
    </xf>
    <xf numFmtId="0" fontId="14" fillId="12" borderId="6" xfId="1" applyFont="1" applyFill="1" applyBorder="1" applyAlignment="1">
      <alignment horizontal="center" vertical="center"/>
    </xf>
    <xf numFmtId="0" fontId="14" fillId="12" borderId="7" xfId="1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 wrapText="1"/>
    </xf>
    <xf numFmtId="0" fontId="4" fillId="10" borderId="9" xfId="1" applyFont="1" applyFill="1" applyBorder="1" applyAlignment="1">
      <alignment horizontal="center" vertical="center" wrapText="1"/>
    </xf>
    <xf numFmtId="0" fontId="4" fillId="10" borderId="0" xfId="1" applyFont="1" applyFill="1" applyAlignment="1">
      <alignment horizontal="center" vertical="center" wrapText="1"/>
    </xf>
    <xf numFmtId="0" fontId="4" fillId="10" borderId="7" xfId="1" applyFont="1" applyFill="1" applyBorder="1" applyAlignment="1">
      <alignment horizontal="center" vertical="center" wrapText="1"/>
    </xf>
    <xf numFmtId="0" fontId="4" fillId="10" borderId="2" xfId="1" applyFont="1" applyFill="1" applyBorder="1" applyAlignment="1">
      <alignment horizontal="center" vertical="center" wrapText="1"/>
    </xf>
    <xf numFmtId="0" fontId="4" fillId="10" borderId="15" xfId="1" applyFont="1" applyFill="1" applyBorder="1" applyAlignment="1">
      <alignment horizontal="center" vertical="center" wrapText="1"/>
    </xf>
    <xf numFmtId="0" fontId="4" fillId="10" borderId="3" xfId="1" applyFont="1" applyFill="1" applyBorder="1" applyAlignment="1">
      <alignment horizontal="center" vertical="center" wrapText="1"/>
    </xf>
    <xf numFmtId="0" fontId="4" fillId="10" borderId="4" xfId="1" applyFont="1" applyFill="1" applyBorder="1" applyAlignment="1">
      <alignment horizontal="center" vertical="center" wrapText="1"/>
    </xf>
    <xf numFmtId="0" fontId="4" fillId="10" borderId="5" xfId="1" applyFont="1" applyFill="1" applyBorder="1" applyAlignment="1">
      <alignment horizontal="center" vertical="center" wrapText="1"/>
    </xf>
    <xf numFmtId="0" fontId="4" fillId="10" borderId="6" xfId="1" applyFont="1" applyFill="1" applyBorder="1" applyAlignment="1">
      <alignment horizontal="center" vertical="center" wrapText="1"/>
    </xf>
    <xf numFmtId="0" fontId="26" fillId="0" borderId="0" xfId="2" applyFont="1" applyAlignment="1">
      <alignment horizontal="center"/>
    </xf>
    <xf numFmtId="0" fontId="25" fillId="0" borderId="0" xfId="0" applyFont="1" applyAlignment="1">
      <alignment horizontal="left" vertical="center"/>
    </xf>
  </cellXfs>
  <cellStyles count="4">
    <cellStyle name="Currency" xfId="3" builtinId="4"/>
    <cellStyle name="Normal" xfId="0" builtinId="0"/>
    <cellStyle name="Normal 2" xfId="1" xr:uid="{00000000-0005-0000-0000-000001000000}"/>
    <cellStyle name="Title" xfId="2" builtinId="15"/>
  </cellStyles>
  <dxfs count="25">
    <dxf>
      <font>
        <b val="0"/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ajor"/>
      </font>
      <alignment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>
                <a:latin typeface="+mj-lt"/>
              </a:defRPr>
            </a:pPr>
            <a:r>
              <a:rPr lang="en-US">
                <a:latin typeface="+mj-lt"/>
              </a:rPr>
              <a:t>Cost Comparison of Routes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Associated Costs</c:v>
          </c:tx>
          <c:invertIfNegative val="0"/>
          <c:cat>
            <c:strRef>
              <c:f>'Cost Estimation'!$B$90:$B$91</c:f>
              <c:strCache>
                <c:ptCount val="2"/>
                <c:pt idx="0">
                  <c:v>Route 01 </c:v>
                </c:pt>
                <c:pt idx="1">
                  <c:v>Route 02</c:v>
                </c:pt>
              </c:strCache>
            </c:strRef>
          </c:cat>
          <c:val>
            <c:numRef>
              <c:f>'Cost Estimation'!$C$90:$C$91</c:f>
              <c:numCache>
                <c:formatCode>"$"#,##0.00</c:formatCode>
                <c:ptCount val="2"/>
                <c:pt idx="0">
                  <c:v>0</c:v>
                </c:pt>
                <c:pt idx="1">
                  <c:v>14350658.883818513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20-4A1F-AD51-2F1F1EB4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76785152"/>
        <c:axId val="76786688"/>
      </c:barChart>
      <c:catAx>
        <c:axId val="7678515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76786688"/>
        <c:crosses val="autoZero"/>
        <c:auto val="1"/>
        <c:lblAlgn val="ctr"/>
        <c:lblOffset val="100"/>
        <c:noMultiLvlLbl val="0"/>
      </c:catAx>
      <c:valAx>
        <c:axId val="76786688"/>
        <c:scaling>
          <c:orientation val="minMax"/>
        </c:scaling>
        <c:delete val="1"/>
        <c:axPos val="l"/>
        <c:minorGridlines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US" sz="1400">
                    <a:latin typeface="+mj-lt"/>
                  </a:rPr>
                  <a:t>Cost ($)</a:t>
                </a:r>
              </a:p>
            </c:rich>
          </c:tx>
          <c:layout>
            <c:manualLayout>
              <c:xMode val="edge"/>
              <c:yMode val="edge"/>
              <c:x val="0.15"/>
              <c:y val="0.39428659959171769"/>
            </c:manualLayout>
          </c:layout>
          <c:overlay val="0"/>
        </c:title>
        <c:numFmt formatCode="&quot;$&quot;#,##0.00" sourceLinked="1"/>
        <c:majorTickMark val="out"/>
        <c:minorTickMark val="none"/>
        <c:tickLblPos val="nextTo"/>
        <c:crossAx val="76785152"/>
        <c:crosses val="autoZero"/>
        <c:crossBetween val="between"/>
        <c:dispUnits>
          <c:builtInUnit val="millions"/>
          <c:dispUnitsLbl/>
        </c:dispUnits>
      </c:valAx>
      <c:dTable>
        <c:showHorzBorder val="0"/>
        <c:showVertBorder val="1"/>
        <c:showOutline val="1"/>
        <c:showKeys val="0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8100000" scaled="1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50F-47AF-AB26-68F3F29E1E6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50F-47AF-AB26-68F3F29E1E6C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50F-47AF-AB26-68F3F29E1E6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'Cost Estimation'!$A$25:$A$27</c:f>
              <c:numCache>
                <c:formatCode>_("$"* #,##0.00_);_("$"* \(#,##0.00\);_("$"* "-"??_);_(@_)</c:formatCode>
                <c:ptCount val="3"/>
                <c:pt idx="0">
                  <c:v>46.096847999999994</c:v>
                </c:pt>
                <c:pt idx="1">
                  <c:v>14349399.177285712</c:v>
                </c:pt>
                <c:pt idx="2">
                  <c:v>1213.6096847999997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D-4800-BC91-D0F4365C763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8-4E2C-B7C2-1C04E9AD1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>
                <a:latin typeface="+mj-lt"/>
              </a:defRPr>
            </a:pPr>
            <a:r>
              <a:rPr lang="en-US">
                <a:latin typeface="+mj-lt"/>
              </a:rPr>
              <a:t>Cost Comparison of Routes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Associated Costs</c:v>
          </c:tx>
          <c:invertIfNegative val="0"/>
          <c:cat>
            <c:strRef>
              <c:f>'Cost Estimation'!$B$90:$B$91</c:f>
              <c:strCache>
                <c:ptCount val="2"/>
                <c:pt idx="0">
                  <c:v>Route 01 </c:v>
                </c:pt>
                <c:pt idx="1">
                  <c:v>Route 02</c:v>
                </c:pt>
              </c:strCache>
            </c:strRef>
          </c:cat>
          <c:val>
            <c:numRef>
              <c:f>'Cost Estimation'!$C$90:$C$91</c:f>
              <c:numCache>
                <c:formatCode>"$"#,##0.00</c:formatCode>
                <c:ptCount val="2"/>
                <c:pt idx="0">
                  <c:v>0</c:v>
                </c:pt>
                <c:pt idx="1">
                  <c:v>14350658.883818513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F-4CD2-BEF3-A0527ED1F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79515008"/>
        <c:axId val="79537280"/>
      </c:barChart>
      <c:catAx>
        <c:axId val="7951500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79537280"/>
        <c:crosses val="autoZero"/>
        <c:auto val="1"/>
        <c:lblAlgn val="ctr"/>
        <c:lblOffset val="100"/>
        <c:noMultiLvlLbl val="0"/>
      </c:catAx>
      <c:valAx>
        <c:axId val="79537280"/>
        <c:scaling>
          <c:orientation val="minMax"/>
        </c:scaling>
        <c:delete val="1"/>
        <c:axPos val="l"/>
        <c:minorGridlines/>
        <c:title>
          <c:tx>
            <c:rich>
              <a:bodyPr/>
              <a:lstStyle/>
              <a:p>
                <a:pPr>
                  <a:defRPr sz="1400">
                    <a:latin typeface="+mj-lt"/>
                  </a:defRPr>
                </a:pPr>
                <a:r>
                  <a:rPr lang="en-US" sz="1400">
                    <a:latin typeface="+mj-lt"/>
                  </a:rPr>
                  <a:t>Cost ($)</a:t>
                </a:r>
              </a:p>
            </c:rich>
          </c:tx>
          <c:layout>
            <c:manualLayout>
              <c:xMode val="edge"/>
              <c:yMode val="edge"/>
              <c:x val="0.15"/>
              <c:y val="0.39428659959171769"/>
            </c:manualLayout>
          </c:layout>
          <c:overlay val="0"/>
        </c:title>
        <c:numFmt formatCode="&quot;$&quot;#,##0.00" sourceLinked="1"/>
        <c:majorTickMark val="out"/>
        <c:minorTickMark val="none"/>
        <c:tickLblPos val="nextTo"/>
        <c:crossAx val="79515008"/>
        <c:crosses val="autoZero"/>
        <c:crossBetween val="between"/>
        <c:dispUnits>
          <c:builtInUnit val="millions"/>
          <c:dispUnitsLbl/>
        </c:dispUnits>
      </c:valAx>
      <c:dTable>
        <c:showHorzBorder val="0"/>
        <c:showVertBorder val="1"/>
        <c:showOutline val="1"/>
        <c:showKeys val="0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5E9EFF"/>
        </a:gs>
        <a:gs pos="39999">
          <a:srgbClr val="85C2FF"/>
        </a:gs>
        <a:gs pos="70000">
          <a:srgbClr val="C4D6EB"/>
        </a:gs>
        <a:gs pos="100000">
          <a:srgbClr val="FFEBFA"/>
        </a:gs>
      </a:gsLst>
      <a:lin ang="8100000" scaled="1"/>
    </a:gra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3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chart" Target="../charts/chart1.xml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30</xdr:row>
      <xdr:rowOff>27215</xdr:rowOff>
    </xdr:from>
    <xdr:to>
      <xdr:col>15</xdr:col>
      <xdr:colOff>13608</xdr:colOff>
      <xdr:row>32</xdr:row>
      <xdr:rowOff>13607</xdr:rowOff>
    </xdr:to>
    <xdr:sp macro="[0]!ReportGener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90714" y="6055179"/>
          <a:ext cx="1551215" cy="36739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latin typeface="+mj-lt"/>
            </a:rPr>
            <a:t>Generate</a:t>
          </a:r>
          <a:r>
            <a:rPr lang="en-US" sz="1300" b="1" baseline="0">
              <a:latin typeface="+mj-lt"/>
            </a:rPr>
            <a:t> </a:t>
          </a:r>
          <a:r>
            <a:rPr lang="en-US" sz="1300" b="1">
              <a:latin typeface="+mj-lt"/>
            </a:rPr>
            <a:t>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96781</xdr:colOff>
      <xdr:row>39</xdr:row>
      <xdr:rowOff>175172</xdr:rowOff>
    </xdr:from>
    <xdr:to>
      <xdr:col>1</xdr:col>
      <xdr:colOff>1631292</xdr:colOff>
      <xdr:row>44</xdr:row>
      <xdr:rowOff>43792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1631" y="7623722"/>
          <a:ext cx="1534511" cy="821120"/>
        </a:xfrm>
        <a:prstGeom prst="rect">
          <a:avLst/>
        </a:prstGeom>
      </xdr:spPr>
    </xdr:pic>
    <xdr:clientData/>
  </xdr:twoCellAnchor>
  <xdr:twoCellAnchor editAs="oneCell">
    <xdr:from>
      <xdr:col>2</xdr:col>
      <xdr:colOff>208017</xdr:colOff>
      <xdr:row>40</xdr:row>
      <xdr:rowOff>65690</xdr:rowOff>
    </xdr:from>
    <xdr:to>
      <xdr:col>2</xdr:col>
      <xdr:colOff>1390430</xdr:colOff>
      <xdr:row>44</xdr:row>
      <xdr:rowOff>54741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75042" y="7704740"/>
          <a:ext cx="1182413" cy="7510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37</xdr:row>
      <xdr:rowOff>152400</xdr:rowOff>
    </xdr:from>
    <xdr:to>
      <xdr:col>2</xdr:col>
      <xdr:colOff>571500</xdr:colOff>
      <xdr:row>40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0" y="7400925"/>
          <a:ext cx="257175" cy="43815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40</xdr:row>
      <xdr:rowOff>28575</xdr:rowOff>
    </xdr:from>
    <xdr:to>
      <xdr:col>2</xdr:col>
      <xdr:colOff>623888</xdr:colOff>
      <xdr:row>42</xdr:row>
      <xdr:rowOff>57149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  <a:ext uri="{147F2762-F138-4A5C-976F-8EAC2B608ADB}">
              <a16:predDERef xmlns:a16="http://schemas.microsoft.com/office/drawing/2014/main" pred="{AC3CDD9B-1BB6-BE4B-08FE-AD38D732D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6675" y="7848600"/>
          <a:ext cx="314325" cy="4191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42</xdr:row>
      <xdr:rowOff>95250</xdr:rowOff>
    </xdr:from>
    <xdr:to>
      <xdr:col>2</xdr:col>
      <xdr:colOff>561975</xdr:colOff>
      <xdr:row>44</xdr:row>
      <xdr:rowOff>66675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  <a:ext uri="{147F2762-F138-4A5C-976F-8EAC2B608ADB}">
              <a16:predDERef xmlns:a16="http://schemas.microsoft.com/office/drawing/2014/main" pred="{1C7D991B-24CB-ADEF-B50D-48D113622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0" y="8305800"/>
          <a:ext cx="323850" cy="35242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33</xdr:row>
      <xdr:rowOff>47625</xdr:rowOff>
    </xdr:from>
    <xdr:to>
      <xdr:col>7</xdr:col>
      <xdr:colOff>571500</xdr:colOff>
      <xdr:row>45</xdr:row>
      <xdr:rowOff>154781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  <a:ext uri="{147F2762-F138-4A5C-976F-8EAC2B608ADB}">
              <a16:predDERef xmlns:a16="http://schemas.microsoft.com/office/drawing/2014/main" pred="{B9CA4D68-FFCA-CEB9-B288-94735D377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58450" y="6534150"/>
          <a:ext cx="4152900" cy="24384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25</xdr:row>
      <xdr:rowOff>180975</xdr:rowOff>
    </xdr:from>
    <xdr:to>
      <xdr:col>25</xdr:col>
      <xdr:colOff>340519</xdr:colOff>
      <xdr:row>26</xdr:row>
      <xdr:rowOff>104775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700-000013000000}"/>
            </a:ext>
            <a:ext uri="{147F2762-F138-4A5C-976F-8EAC2B608ADB}">
              <a16:predDERef xmlns:a16="http://schemas.microsoft.com/office/drawing/2014/main" pred="{63B3A380-304E-46F2-8FD5-FA22ECEB7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318950" y="5029200"/>
          <a:ext cx="304800" cy="1143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25</xdr:row>
      <xdr:rowOff>161925</xdr:rowOff>
    </xdr:from>
    <xdr:to>
      <xdr:col>25</xdr:col>
      <xdr:colOff>360522</xdr:colOff>
      <xdr:row>26</xdr:row>
      <xdr:rowOff>123825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700-000014000000}"/>
            </a:ext>
            <a:ext uri="{147F2762-F138-4A5C-976F-8EAC2B608ADB}">
              <a16:predDERef xmlns:a16="http://schemas.microsoft.com/office/drawing/2014/main" pred="{10C77256-717F-65D9-7190-E8AB77DB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766625" y="5010150"/>
          <a:ext cx="352425" cy="1524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25</xdr:row>
      <xdr:rowOff>161925</xdr:rowOff>
    </xdr:from>
    <xdr:to>
      <xdr:col>25</xdr:col>
      <xdr:colOff>328612</xdr:colOff>
      <xdr:row>26</xdr:row>
      <xdr:rowOff>95250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700-000016000000}"/>
            </a:ext>
            <a:ext uri="{147F2762-F138-4A5C-976F-8EAC2B608ADB}">
              <a16:predDERef xmlns:a16="http://schemas.microsoft.com/office/drawing/2014/main" pred="{FD2EE79C-E6E6-3BFF-E0EE-77720D690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204775" y="5010150"/>
          <a:ext cx="323850" cy="12382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25</xdr:row>
      <xdr:rowOff>142875</xdr:rowOff>
    </xdr:from>
    <xdr:to>
      <xdr:col>25</xdr:col>
      <xdr:colOff>385762</xdr:colOff>
      <xdr:row>26</xdr:row>
      <xdr:rowOff>47625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700-000017000000}"/>
            </a:ext>
            <a:ext uri="{147F2762-F138-4A5C-976F-8EAC2B608ADB}">
              <a16:predDERef xmlns:a16="http://schemas.microsoft.com/office/drawing/2014/main" pred="{1CD72C1E-E3B5-15CF-EBFE-A7A47BF0C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795325" y="4991100"/>
          <a:ext cx="371475" cy="95250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200025</xdr:colOff>
      <xdr:row>44</xdr:row>
      <xdr:rowOff>142875</xdr:rowOff>
    </xdr:from>
    <xdr:to>
      <xdr:col>6</xdr:col>
      <xdr:colOff>1924049</xdr:colOff>
      <xdr:row>52</xdr:row>
      <xdr:rowOff>133350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700-00001B000000}"/>
            </a:ext>
            <a:ext uri="{147F2762-F138-4A5C-976F-8EAC2B608ADB}">
              <a16:predDERef xmlns:a16="http://schemas.microsoft.com/office/drawing/2014/main" pred="{63184FEC-62FB-C51C-2153-47A1DCAFB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648950" y="8734425"/>
          <a:ext cx="3086100" cy="1514475"/>
        </a:xfrm>
        <a:prstGeom prst="rect">
          <a:avLst/>
        </a:prstGeom>
      </xdr:spPr>
    </xdr:pic>
    <xdr:clientData/>
  </xdr:twoCellAnchor>
  <xdr:twoCellAnchor editAs="oneCell">
    <xdr:from>
      <xdr:col>11</xdr:col>
      <xdr:colOff>504825</xdr:colOff>
      <xdr:row>2</xdr:row>
      <xdr:rowOff>152400</xdr:rowOff>
    </xdr:from>
    <xdr:to>
      <xdr:col>14</xdr:col>
      <xdr:colOff>533399</xdr:colOff>
      <xdr:row>6</xdr:row>
      <xdr:rowOff>190024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700-00001C000000}"/>
            </a:ext>
            <a:ext uri="{147F2762-F138-4A5C-976F-8EAC2B608ADB}">
              <a16:predDERef xmlns:a16="http://schemas.microsoft.com/office/drawing/2014/main" pred="{8C1A4FA5-8214-75AE-2C0A-66C13F459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30975" y="542925"/>
          <a:ext cx="2200275" cy="826294"/>
        </a:xfrm>
        <a:prstGeom prst="rect">
          <a:avLst/>
        </a:prstGeom>
      </xdr:spPr>
    </xdr:pic>
    <xdr:clientData/>
  </xdr:twoCellAnchor>
  <xdr:twoCellAnchor>
    <xdr:from>
      <xdr:col>3</xdr:col>
      <xdr:colOff>892969</xdr:colOff>
      <xdr:row>80</xdr:row>
      <xdr:rowOff>51196</xdr:rowOff>
    </xdr:from>
    <xdr:to>
      <xdr:col>4</xdr:col>
      <xdr:colOff>1202531</xdr:colOff>
      <xdr:row>94</xdr:row>
      <xdr:rowOff>115490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</xdr:col>
      <xdr:colOff>0</xdr:colOff>
      <xdr:row>104</xdr:row>
      <xdr:rowOff>0</xdr:rowOff>
    </xdr:from>
    <xdr:to>
      <xdr:col>8</xdr:col>
      <xdr:colOff>383492</xdr:colOff>
      <xdr:row>111</xdr:row>
      <xdr:rowOff>165859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F92DC5F-B934-4E23-3B27-7D308B155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972675" y="19516725"/>
          <a:ext cx="6774767" cy="1432684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17</xdr:row>
      <xdr:rowOff>0</xdr:rowOff>
    </xdr:from>
    <xdr:to>
      <xdr:col>4</xdr:col>
      <xdr:colOff>266700</xdr:colOff>
      <xdr:row>31</xdr:row>
      <xdr:rowOff>142875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5CAF1989-CD60-EE79-4403-25CB7CB952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1100666</xdr:colOff>
      <xdr:row>14</xdr:row>
      <xdr:rowOff>211667</xdr:rowOff>
    </xdr:from>
    <xdr:to>
      <xdr:col>24</xdr:col>
      <xdr:colOff>571499</xdr:colOff>
      <xdr:row>26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33</xdr:row>
      <xdr:rowOff>0</xdr:rowOff>
    </xdr:from>
    <xdr:to>
      <xdr:col>26</xdr:col>
      <xdr:colOff>285750</xdr:colOff>
      <xdr:row>47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sce2049\Desktop\Addition\Merged%20Modules%20(Team%2002)%20(kashif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untazir\Desktop\Dtnec\Mechanical%20Calculations%20DTnEC%20Shahro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rInterface"/>
      <sheetName val="Gas Flow Calculations"/>
      <sheetName val="Oil Calculations"/>
      <sheetName val="raw"/>
      <sheetName val="Mechanical Calculations"/>
      <sheetName val="Cost Estimation"/>
      <sheetName val="Asme Standards"/>
    </sheetNames>
    <sheetDataSet>
      <sheetData sheetId="0" refreshError="1">
        <row r="11">
          <cell r="E11">
            <v>60</v>
          </cell>
          <cell r="I11" t="str">
            <v>API 5L Grade X56</v>
          </cell>
        </row>
        <row r="12">
          <cell r="E12">
            <v>66</v>
          </cell>
        </row>
        <row r="13">
          <cell r="E13">
            <v>78</v>
          </cell>
          <cell r="O13">
            <v>14.003057889290245</v>
          </cell>
        </row>
        <row r="14">
          <cell r="E14">
            <v>102</v>
          </cell>
          <cell r="O14">
            <v>6788.7750000000005</v>
          </cell>
        </row>
        <row r="20">
          <cell r="E20">
            <v>1.5560000000000001E-3</v>
          </cell>
        </row>
        <row r="21">
          <cell r="E21" t="str">
            <v>Diesel</v>
          </cell>
        </row>
        <row r="26">
          <cell r="E26">
            <v>30</v>
          </cell>
        </row>
        <row r="31">
          <cell r="E31">
            <v>0.75</v>
          </cell>
        </row>
        <row r="32">
          <cell r="E32">
            <v>0.21</v>
          </cell>
        </row>
        <row r="33">
          <cell r="E33">
            <v>0.04</v>
          </cell>
        </row>
        <row r="34">
          <cell r="E34">
            <v>0</v>
          </cell>
        </row>
        <row r="35">
          <cell r="E35">
            <v>0</v>
          </cell>
        </row>
        <row r="36">
          <cell r="E36">
            <v>0</v>
          </cell>
        </row>
        <row r="37">
          <cell r="E37">
            <v>0</v>
          </cell>
        </row>
        <row r="38">
          <cell r="E38">
            <v>0</v>
          </cell>
        </row>
        <row r="39">
          <cell r="E39">
            <v>0</v>
          </cell>
        </row>
        <row r="40">
          <cell r="E40">
            <v>0</v>
          </cell>
        </row>
        <row r="41">
          <cell r="E41">
            <v>0</v>
          </cell>
        </row>
        <row r="42">
          <cell r="E42">
            <v>0</v>
          </cell>
        </row>
      </sheetData>
      <sheetData sheetId="1" refreshError="1">
        <row r="13">
          <cell r="D13">
            <v>2592000</v>
          </cell>
        </row>
        <row r="17">
          <cell r="I17">
            <v>2.7609189538213972</v>
          </cell>
        </row>
        <row r="18">
          <cell r="I18">
            <v>3.5068943837938287</v>
          </cell>
        </row>
        <row r="22">
          <cell r="N22">
            <v>1.3863000000000001E-5</v>
          </cell>
        </row>
        <row r="48">
          <cell r="N48">
            <v>39290337.531476103</v>
          </cell>
          <cell r="R48">
            <v>30932621.778971147</v>
          </cell>
        </row>
        <row r="71">
          <cell r="I71">
            <v>3.5068943837938287</v>
          </cell>
        </row>
      </sheetData>
      <sheetData sheetId="2" refreshError="1">
        <row r="9">
          <cell r="E9">
            <v>1.5560000000000001E-3</v>
          </cell>
        </row>
        <row r="23">
          <cell r="J23">
            <v>48103.188013105311</v>
          </cell>
        </row>
        <row r="30">
          <cell r="D30">
            <v>645.50397858447161</v>
          </cell>
        </row>
        <row r="36">
          <cell r="F36">
            <v>67</v>
          </cell>
        </row>
        <row r="37">
          <cell r="F37">
            <v>0.5513014917043404</v>
          </cell>
        </row>
      </sheetData>
      <sheetData sheetId="3" refreshError="1"/>
      <sheetData sheetId="4" refreshError="1">
        <row r="9">
          <cell r="H9">
            <v>0.1710269309915918</v>
          </cell>
        </row>
        <row r="12">
          <cell r="H12" t="str">
            <v>1.65</v>
          </cell>
        </row>
        <row r="13">
          <cell r="H13">
            <v>17.100000000000001</v>
          </cell>
        </row>
        <row r="15">
          <cell r="I15" t="str">
            <v>Standard Commercial</v>
          </cell>
        </row>
        <row r="16">
          <cell r="H16">
            <v>3.1710269309915917</v>
          </cell>
        </row>
        <row r="17">
          <cell r="C17">
            <v>14.003057889290245</v>
          </cell>
          <cell r="H17">
            <v>0.63</v>
          </cell>
        </row>
      </sheetData>
      <sheetData sheetId="5" refreshError="1"/>
      <sheetData sheetId="6" refreshError="1">
        <row r="14">
          <cell r="P14" t="str">
            <v>1.65</v>
          </cell>
          <cell r="Q14">
            <v>17.100000000000001</v>
          </cell>
          <cell r="R14" t="str">
            <v>^{3} ∕_{8} (10)</v>
          </cell>
          <cell r="S14">
            <v>0.63</v>
          </cell>
        </row>
        <row r="16">
          <cell r="P16" t="str">
            <v>30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6">
          <cell r="Q16" t="str">
            <v>Standard Commercial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0000000-0016-0000-0600-000000000000}" autoFormatId="16" applyNumberFormats="0" applyBorderFormats="0" applyFontFormats="0" applyPatternFormats="0" applyAlignmentFormats="0" applyWidthHeightFormats="0">
  <queryTableRefresh nextId="14" unboundColumnsRight="4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8" dataBound="0" tableColumnId="8"/>
      <queryTableField id="12" dataBound="0" tableColumnId="12"/>
      <queryTableField id="11" dataBound="0" tableColumnId="11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ge012" displayName="Page012" ref="B1:K775" tableType="queryTable" totalsRowShown="0" headerRowDxfId="24" dataDxfId="23">
  <autoFilter ref="B1:K775" xr:uid="{00000000-0009-0000-0100-000001000000}">
    <filterColumn colId="0">
      <filters>
        <filter val="1(25)"/>
        <filter val="10(250)"/>
        <filter val="12(300)"/>
        <filter val="14(350)"/>
        <filter val="16(400)"/>
        <filter val="18(450)"/>
        <filter val="2(50)"/>
        <filter val="20(500)"/>
        <filter val="22(550)"/>
        <filter val="24(600)"/>
        <filter val="26(650)"/>
        <filter val="28(700)"/>
        <filter val="3(80)"/>
        <filter val="30(750)"/>
        <filter val="32(800)"/>
        <filter val="34(850)"/>
        <filter val="36(900)"/>
        <filter val="38(950)"/>
        <filter val="4(100)"/>
        <filter val="40(1000)"/>
        <filter val="42(1050)"/>
        <filter val="44(1100)"/>
        <filter val="46(1150)"/>
        <filter val="48(1200)"/>
        <filter val="5(125)"/>
        <filter val="52(1300)"/>
        <filter val="56(1400)"/>
        <filter val="6(150)"/>
        <filter val="60(1500)"/>
        <filter val="64(1600)"/>
        <filter val="68(1700)"/>
        <filter val="72(1800)"/>
        <filter val="76(1900)"/>
        <filter val="8(200)"/>
        <filter val="80(2000)"/>
        <filter val="NPS_x000a_(DN)"/>
      </filters>
    </filterColumn>
  </autoFilter>
  <tableColumns count="10">
    <tableColumn id="1" xr3:uid="{00000000-0010-0000-0000-000001000000}" uniqueName="1" name="Column1" queryTableFieldId="1" dataDxfId="22"/>
    <tableColumn id="2" xr3:uid="{00000000-0010-0000-0000-000002000000}" uniqueName="2" name="Column2" queryTableFieldId="2" dataDxfId="21"/>
    <tableColumn id="3" xr3:uid="{00000000-0010-0000-0000-000003000000}" uniqueName="3" name="Column3" queryTableFieldId="3" dataDxfId="20"/>
    <tableColumn id="4" xr3:uid="{00000000-0010-0000-0000-000004000000}" uniqueName="4" name="Column4" queryTableFieldId="4" dataDxfId="19"/>
    <tableColumn id="5" xr3:uid="{00000000-0010-0000-0000-000005000000}" uniqueName="5" name="Column5" queryTableFieldId="5" dataDxfId="18"/>
    <tableColumn id="6" xr3:uid="{00000000-0010-0000-0000-000006000000}" uniqueName="6" name="Column6" queryTableFieldId="6" dataDxfId="17"/>
    <tableColumn id="8" xr3:uid="{00000000-0010-0000-0000-000008000000}" uniqueName="8" name="Column8" queryTableFieldId="8" dataDxfId="16">
      <calculatedColumnFormula>MID(Page012[[#This Row],[Column4]],SEARCH("(",Page012[[#This Row],[Column4]])+1,SEARCH(")",Page012[[#This Row],[Column4]])-SEARCH("(",Page012[[#This Row],[Column4]])-1)</calculatedColumnFormula>
    </tableColumn>
    <tableColumn id="12" xr3:uid="{00000000-0010-0000-0000-00000C000000}" uniqueName="12" name="Column92" queryTableFieldId="12" dataDxfId="15"/>
    <tableColumn id="11" xr3:uid="{00000000-0010-0000-0000-00000B000000}" uniqueName="11" name="Column10" queryTableFieldId="11" dataDxfId="14"/>
    <tableColumn id="13" xr3:uid="{00000000-0010-0000-0000-00000D000000}" uniqueName="13" name="Column7" queryTableFieldId="13" dataDxfId="13">
      <calculatedColumnFormula>IF(IF(I2&gt;=$Q$3,I2,$Q$2+10)&lt;=$Q$2,A2,0)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46" displayName="Table46" ref="O20:Q26" headerRowCount="0" totalsRowShown="0" headerRowDxfId="12" dataDxfId="11">
  <tableColumns count="3">
    <tableColumn id="1" xr3:uid="{00000000-0010-0000-0100-000001000000}" name="Column1" headerRowDxfId="10" dataDxfId="9"/>
    <tableColumn id="2" xr3:uid="{00000000-0010-0000-0100-000002000000}" name="Column2" headerRowDxfId="8" dataDxfId="7"/>
    <tableColumn id="3" xr3:uid="{00000000-0010-0000-0100-000003000000}" name="Column3" headerRowDxfId="6" dataDxfId="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O11:Q16" headerRowCount="0" totalsRowShown="0" headerRowDxfId="4" dataDxfId="3">
  <tableColumns count="3">
    <tableColumn id="1" xr3:uid="{00000000-0010-0000-0200-000001000000}" name="Column1" dataDxfId="2"/>
    <tableColumn id="2" xr3:uid="{00000000-0010-0000-0200-000002000000}" name="Column2" dataDxfId="1"/>
    <tableColumn id="3" xr3:uid="{00000000-0010-0000-0200-000003000000}" name="Column3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D1:U42"/>
  <sheetViews>
    <sheetView topLeftCell="C4" zoomScale="70" zoomScaleNormal="70" workbookViewId="0">
      <selection activeCell="H9" sqref="H9"/>
    </sheetView>
  </sheetViews>
  <sheetFormatPr defaultRowHeight="15"/>
  <cols>
    <col min="4" max="4" width="23.140625" customWidth="1"/>
    <col min="5" max="5" width="17.28515625" customWidth="1"/>
    <col min="6" max="6" width="10.5703125" customWidth="1"/>
    <col min="8" max="8" width="19.28515625" customWidth="1"/>
    <col min="9" max="9" width="20" customWidth="1"/>
    <col min="13" max="13" width="16.7109375" customWidth="1"/>
    <col min="14" max="14" width="20.42578125" customWidth="1"/>
    <col min="15" max="15" width="23" customWidth="1"/>
    <col min="16" max="16" width="23.140625" customWidth="1"/>
  </cols>
  <sheetData>
    <row r="1" spans="4:16" ht="15.75" thickBot="1"/>
    <row r="2" spans="4:16" ht="15.75" customHeight="1">
      <c r="G2" s="212" t="s">
        <v>551</v>
      </c>
      <c r="H2" s="213"/>
      <c r="I2" s="213"/>
      <c r="J2" s="213"/>
      <c r="K2" s="213"/>
      <c r="L2" s="213"/>
      <c r="M2" s="214"/>
    </row>
    <row r="3" spans="4:16" ht="15.75" customHeight="1">
      <c r="G3" s="215"/>
      <c r="H3" s="216"/>
      <c r="I3" s="216"/>
      <c r="J3" s="216"/>
      <c r="K3" s="216"/>
      <c r="L3" s="216"/>
      <c r="M3" s="217"/>
    </row>
    <row r="4" spans="4:16" ht="15.75" customHeight="1">
      <c r="G4" s="215"/>
      <c r="H4" s="216"/>
      <c r="I4" s="216"/>
      <c r="J4" s="216"/>
      <c r="K4" s="216"/>
      <c r="L4" s="216"/>
      <c r="M4" s="217"/>
    </row>
    <row r="5" spans="4:16" ht="15.75" customHeight="1" thickBot="1">
      <c r="G5" s="218"/>
      <c r="H5" s="219"/>
      <c r="I5" s="219"/>
      <c r="J5" s="219"/>
      <c r="K5" s="219"/>
      <c r="L5" s="219"/>
      <c r="M5" s="220"/>
    </row>
    <row r="8" spans="4:16" ht="15.75" thickBot="1"/>
    <row r="9" spans="4:16">
      <c r="D9" s="222" t="s">
        <v>171</v>
      </c>
      <c r="E9" s="223"/>
      <c r="F9" s="224"/>
      <c r="M9" s="222" t="s">
        <v>186</v>
      </c>
      <c r="N9" s="223"/>
      <c r="O9" s="223"/>
      <c r="P9" s="224"/>
    </row>
    <row r="10" spans="4:16">
      <c r="D10" s="225"/>
      <c r="E10" s="226"/>
      <c r="F10" s="227"/>
      <c r="H10" s="110" t="s">
        <v>525</v>
      </c>
      <c r="I10" s="110" t="s">
        <v>192</v>
      </c>
      <c r="M10" s="225"/>
      <c r="N10" s="226"/>
      <c r="O10" s="226"/>
      <c r="P10" s="227"/>
    </row>
    <row r="11" spans="4:16" ht="15.75">
      <c r="D11" s="10" t="s">
        <v>174</v>
      </c>
      <c r="E11" s="5">
        <f>liqgis</f>
        <v>0.42</v>
      </c>
      <c r="F11" s="12" t="s">
        <v>2</v>
      </c>
      <c r="H11" s="109" t="s">
        <v>526</v>
      </c>
      <c r="I11" s="25" t="s">
        <v>226</v>
      </c>
      <c r="M11" s="228" t="s">
        <v>176</v>
      </c>
      <c r="N11" s="229"/>
      <c r="O11" s="119">
        <f>VLOOKUP(E16,raw!G7:H8,2,0)</f>
        <v>21.709825545800854</v>
      </c>
      <c r="P11" s="49" t="s">
        <v>39</v>
      </c>
    </row>
    <row r="12" spans="4:16">
      <c r="D12" s="10" t="s">
        <v>552</v>
      </c>
      <c r="E12" s="5">
        <v>2.92</v>
      </c>
      <c r="F12" s="12" t="s">
        <v>17</v>
      </c>
      <c r="M12" s="243" t="s">
        <v>187</v>
      </c>
      <c r="N12" s="244"/>
      <c r="O12" s="66">
        <f>maxopout</f>
        <v>3.92</v>
      </c>
      <c r="P12" s="49" t="s">
        <v>17</v>
      </c>
    </row>
    <row r="13" spans="4:16" ht="15.75" thickBot="1">
      <c r="D13" s="10" t="s">
        <v>157</v>
      </c>
      <c r="E13" s="5">
        <f>ihqgis</f>
        <v>22</v>
      </c>
      <c r="F13" s="12" t="s">
        <v>2</v>
      </c>
      <c r="M13" s="243" t="s">
        <v>190</v>
      </c>
      <c r="N13" s="244"/>
      <c r="O13" s="119">
        <f>O11*25.4</f>
        <v>551.42956886334161</v>
      </c>
      <c r="P13" s="49" t="s">
        <v>99</v>
      </c>
    </row>
    <row r="14" spans="4:16" ht="15.75" thickBot="1">
      <c r="D14" s="22" t="s">
        <v>158</v>
      </c>
      <c r="E14" s="18">
        <f>fhqgis</f>
        <v>55</v>
      </c>
      <c r="F14" s="16" t="s">
        <v>2</v>
      </c>
      <c r="H14" s="231" t="s">
        <v>592</v>
      </c>
      <c r="I14" s="232"/>
      <c r="J14" s="233"/>
      <c r="M14" s="243" t="s">
        <v>522</v>
      </c>
      <c r="N14" s="244"/>
      <c r="O14" s="119">
        <f>O12*101.325</f>
        <v>397.19400000000002</v>
      </c>
      <c r="P14" s="49" t="s">
        <v>149</v>
      </c>
    </row>
    <row r="15" spans="4:16" ht="15.75" thickBot="1">
      <c r="H15" s="234"/>
      <c r="I15" s="235"/>
      <c r="J15" s="236"/>
      <c r="M15" s="237" t="s">
        <v>637</v>
      </c>
      <c r="N15" s="238"/>
      <c r="O15" s="120">
        <f>fmopout</f>
        <v>1.0000000074397142</v>
      </c>
      <c r="P15" s="69" t="s">
        <v>17</v>
      </c>
    </row>
    <row r="16" spans="4:16" ht="15.75">
      <c r="D16" s="109" t="s">
        <v>188</v>
      </c>
      <c r="E16" s="25" t="s">
        <v>178</v>
      </c>
    </row>
    <row r="17" spans="4:21" ht="19.5" thickBot="1">
      <c r="M17" s="230" t="s">
        <v>527</v>
      </c>
      <c r="N17" s="230"/>
      <c r="O17" s="230"/>
      <c r="P17" s="230"/>
    </row>
    <row r="18" spans="4:21" ht="15" customHeight="1">
      <c r="D18" s="222" t="s">
        <v>183</v>
      </c>
      <c r="E18" s="223"/>
      <c r="F18" s="224"/>
      <c r="M18" s="211" t="s">
        <v>236</v>
      </c>
      <c r="N18" s="211"/>
      <c r="O18" s="96" t="str">
        <f>upt</f>
        <v>4.78</v>
      </c>
      <c r="P18" s="96" t="s">
        <v>99</v>
      </c>
    </row>
    <row r="19" spans="4:21" ht="15" customHeight="1">
      <c r="D19" s="225"/>
      <c r="E19" s="226"/>
      <c r="F19" s="227"/>
      <c r="M19" s="211" t="s">
        <v>237</v>
      </c>
      <c r="N19" s="211"/>
      <c r="O19" s="96">
        <f>upd</f>
        <v>559</v>
      </c>
      <c r="P19" s="96" t="s">
        <v>99</v>
      </c>
      <c r="R19" s="221" t="s">
        <v>531</v>
      </c>
      <c r="S19" s="221"/>
      <c r="T19" s="221"/>
      <c r="U19" s="221"/>
    </row>
    <row r="20" spans="4:21">
      <c r="D20" s="10" t="s">
        <v>172</v>
      </c>
      <c r="E20" s="5">
        <v>1.9819999999999998E-3</v>
      </c>
      <c r="F20" s="12" t="s">
        <v>173</v>
      </c>
      <c r="M20" s="211" t="s">
        <v>240</v>
      </c>
      <c r="N20" s="211"/>
      <c r="O20" s="96" t="str">
        <f>updn</f>
        <v>22(550)</v>
      </c>
      <c r="P20" s="96" t="s">
        <v>7</v>
      </c>
      <c r="R20" s="221"/>
      <c r="S20" s="221"/>
      <c r="T20" s="221"/>
      <c r="U20" s="221"/>
    </row>
    <row r="21" spans="4:21" ht="15.75" thickBot="1">
      <c r="D21" s="22" t="s">
        <v>182</v>
      </c>
      <c r="E21" s="58" t="s">
        <v>180</v>
      </c>
      <c r="F21" s="16" t="s">
        <v>7</v>
      </c>
      <c r="M21" s="211" t="s">
        <v>242</v>
      </c>
      <c r="N21" s="211"/>
      <c r="O21" s="96" t="str">
        <f>upsn</f>
        <v>…</v>
      </c>
      <c r="P21" s="96" t="str">
        <f>sci</f>
        <v>Standard Commercial</v>
      </c>
      <c r="R21" s="221"/>
      <c r="S21" s="221"/>
      <c r="T21" s="221"/>
      <c r="U21" s="221"/>
    </row>
    <row r="22" spans="4:21">
      <c r="M22" s="211" t="s">
        <v>244</v>
      </c>
      <c r="N22" s="211"/>
      <c r="O22" s="121">
        <f>nsnct</f>
        <v>3.4248613364662983</v>
      </c>
      <c r="P22" s="99" t="s">
        <v>99</v>
      </c>
      <c r="R22" s="221" t="s">
        <v>532</v>
      </c>
      <c r="S22" s="221"/>
      <c r="T22" s="221"/>
      <c r="U22" s="221"/>
    </row>
    <row r="23" spans="4:21" ht="15.75" thickBot="1">
      <c r="M23" s="211" t="s">
        <v>246</v>
      </c>
      <c r="N23" s="211"/>
      <c r="O23" s="121">
        <f>upw</f>
        <v>65.33</v>
      </c>
      <c r="P23" s="99" t="s">
        <v>247</v>
      </c>
      <c r="R23" s="221"/>
      <c r="S23" s="221"/>
      <c r="T23" s="221"/>
      <c r="U23" s="221"/>
    </row>
    <row r="24" spans="4:21">
      <c r="D24" s="222" t="s">
        <v>184</v>
      </c>
      <c r="E24" s="223"/>
      <c r="F24" s="224"/>
      <c r="M24" s="211" t="s">
        <v>530</v>
      </c>
      <c r="N24" s="211"/>
      <c r="O24" s="121">
        <f>ct</f>
        <v>0.42486133646629831</v>
      </c>
      <c r="P24" s="99" t="s">
        <v>99</v>
      </c>
    </row>
    <row r="25" spans="4:21">
      <c r="D25" s="225"/>
      <c r="E25" s="226"/>
      <c r="F25" s="227"/>
    </row>
    <row r="26" spans="4:21" ht="19.5" thickBot="1">
      <c r="D26" s="22" t="s">
        <v>172</v>
      </c>
      <c r="E26" s="18">
        <v>30</v>
      </c>
      <c r="F26" s="16" t="s">
        <v>173</v>
      </c>
      <c r="M26" s="230" t="s">
        <v>528</v>
      </c>
      <c r="N26" s="230"/>
      <c r="O26" s="230"/>
      <c r="P26" s="230"/>
    </row>
    <row r="27" spans="4:21" ht="15.75" thickBot="1"/>
    <row r="28" spans="4:21">
      <c r="D28" s="222" t="s">
        <v>185</v>
      </c>
      <c r="E28" s="224"/>
      <c r="M28" s="239" t="s">
        <v>217</v>
      </c>
      <c r="N28" s="239"/>
      <c r="O28" s="240">
        <f>tpcostt</f>
        <v>14350658.883818513</v>
      </c>
      <c r="P28" s="240"/>
    </row>
    <row r="29" spans="4:21" ht="15.75" thickBot="1">
      <c r="D29" s="241"/>
      <c r="E29" s="242"/>
    </row>
    <row r="30" spans="4:21" ht="15.75" thickBot="1">
      <c r="D30" s="59" t="s">
        <v>69</v>
      </c>
      <c r="E30" s="118" t="s">
        <v>83</v>
      </c>
    </row>
    <row r="31" spans="4:21">
      <c r="D31" s="60" t="s">
        <v>70</v>
      </c>
      <c r="E31" s="63">
        <v>0.75</v>
      </c>
    </row>
    <row r="32" spans="4:21">
      <c r="D32" s="61" t="s">
        <v>71</v>
      </c>
      <c r="E32" s="64">
        <v>0.21</v>
      </c>
    </row>
    <row r="33" spans="4:5">
      <c r="D33" s="61" t="s">
        <v>72</v>
      </c>
      <c r="E33" s="64">
        <v>0.04</v>
      </c>
    </row>
    <row r="34" spans="4:5">
      <c r="D34" s="61" t="s">
        <v>73</v>
      </c>
      <c r="E34" s="64">
        <v>0</v>
      </c>
    </row>
    <row r="35" spans="4:5">
      <c r="D35" s="61" t="s">
        <v>74</v>
      </c>
      <c r="E35" s="64">
        <v>0</v>
      </c>
    </row>
    <row r="36" spans="4:5">
      <c r="D36" s="61" t="s">
        <v>75</v>
      </c>
      <c r="E36" s="64">
        <v>0</v>
      </c>
    </row>
    <row r="37" spans="4:5">
      <c r="D37" s="61" t="s">
        <v>76</v>
      </c>
      <c r="E37" s="64">
        <v>0</v>
      </c>
    </row>
    <row r="38" spans="4:5">
      <c r="D38" s="61" t="s">
        <v>77</v>
      </c>
      <c r="E38" s="64">
        <v>0</v>
      </c>
    </row>
    <row r="39" spans="4:5">
      <c r="D39" s="61" t="s">
        <v>78</v>
      </c>
      <c r="E39" s="64">
        <v>0</v>
      </c>
    </row>
    <row r="40" spans="4:5">
      <c r="D40" s="61" t="s">
        <v>79</v>
      </c>
      <c r="E40" s="64">
        <v>0</v>
      </c>
    </row>
    <row r="41" spans="4:5">
      <c r="D41" s="61" t="s">
        <v>80</v>
      </c>
      <c r="E41" s="64">
        <v>0</v>
      </c>
    </row>
    <row r="42" spans="4:5" ht="15.75" thickBot="1">
      <c r="D42" s="62" t="s">
        <v>81</v>
      </c>
      <c r="E42" s="65">
        <v>0</v>
      </c>
    </row>
  </sheetData>
  <mergeCells count="25">
    <mergeCell ref="M24:N24"/>
    <mergeCell ref="D9:F10"/>
    <mergeCell ref="D18:F19"/>
    <mergeCell ref="M26:P26"/>
    <mergeCell ref="M28:N28"/>
    <mergeCell ref="O28:P28"/>
    <mergeCell ref="D28:E29"/>
    <mergeCell ref="M12:N12"/>
    <mergeCell ref="D24:F25"/>
    <mergeCell ref="M13:N13"/>
    <mergeCell ref="M14:N14"/>
    <mergeCell ref="M18:N18"/>
    <mergeCell ref="M19:N19"/>
    <mergeCell ref="M20:N20"/>
    <mergeCell ref="M21:N21"/>
    <mergeCell ref="M22:N22"/>
    <mergeCell ref="M23:N23"/>
    <mergeCell ref="G2:M5"/>
    <mergeCell ref="R19:U21"/>
    <mergeCell ref="R22:U23"/>
    <mergeCell ref="M9:P10"/>
    <mergeCell ref="M11:N11"/>
    <mergeCell ref="M17:P17"/>
    <mergeCell ref="H14:J15"/>
    <mergeCell ref="M15:N15"/>
  </mergeCell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'Oil Calculations'!$Y$22:$Y$27</xm:f>
          </x14:formula1>
          <xm:sqref>E21</xm:sqref>
        </x14:dataValidation>
        <x14:dataValidation type="list" allowBlank="1" showInputMessage="1" showErrorMessage="1" xr:uid="{00000000-0002-0000-0000-000001000000}">
          <x14:formula1>
            <xm:f>raw!$G$7:$G$8</xm:f>
          </x14:formula1>
          <xm:sqref>E16</xm:sqref>
        </x14:dataValidation>
        <x14:dataValidation type="list" allowBlank="1" showInputMessage="1" showErrorMessage="1" xr:uid="{00000000-0002-0000-0000-000002000000}">
          <x14:formula1>
            <xm:f>'Mechanical Calculations'!$B$6:$B$8</xm:f>
          </x14:formula1>
          <xm:sqref>I11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3:K30"/>
  <sheetViews>
    <sheetView tabSelected="1" topLeftCell="A12" workbookViewId="0">
      <selection activeCell="K23" sqref="K23"/>
    </sheetView>
  </sheetViews>
  <sheetFormatPr defaultRowHeight="15"/>
  <cols>
    <col min="1" max="1" width="18.7109375" customWidth="1"/>
    <col min="2" max="2" width="18.85546875" customWidth="1"/>
    <col min="3" max="3" width="13" customWidth="1"/>
    <col min="4" max="4" width="29.28515625" customWidth="1"/>
    <col min="5" max="5" width="31.85546875" customWidth="1"/>
    <col min="6" max="6" width="27.42578125" customWidth="1"/>
    <col min="7" max="7" width="21.5703125" customWidth="1"/>
    <col min="8" max="8" width="17.85546875" customWidth="1"/>
    <col min="9" max="9" width="17.28515625" customWidth="1"/>
    <col min="10" max="10" width="18.28515625" customWidth="1"/>
    <col min="11" max="11" width="23" customWidth="1"/>
    <col min="12" max="12" width="14.42578125" customWidth="1"/>
    <col min="13" max="13" width="11" customWidth="1"/>
  </cols>
  <sheetData>
    <row r="3" spans="4:5" ht="18.75">
      <c r="E3" s="186" t="s">
        <v>553</v>
      </c>
    </row>
    <row r="5" spans="4:5">
      <c r="D5" s="133" t="s">
        <v>554</v>
      </c>
      <c r="E5" t="s">
        <v>638</v>
      </c>
    </row>
    <row r="6" spans="4:5">
      <c r="D6" s="134" t="s">
        <v>639</v>
      </c>
      <c r="E6" t="s">
        <v>692</v>
      </c>
    </row>
    <row r="7" spans="4:5">
      <c r="D7" s="135" t="s">
        <v>555</v>
      </c>
      <c r="E7" t="s">
        <v>693</v>
      </c>
    </row>
    <row r="8" spans="4:5">
      <c r="D8" s="134" t="s">
        <v>640</v>
      </c>
      <c r="E8" t="s">
        <v>641</v>
      </c>
    </row>
    <row r="9" spans="4:5">
      <c r="D9" s="136" t="s">
        <v>556</v>
      </c>
      <c r="E9" t="s">
        <v>642</v>
      </c>
    </row>
    <row r="10" spans="4:5">
      <c r="D10" s="137" t="s">
        <v>557</v>
      </c>
      <c r="E10" t="s">
        <v>643</v>
      </c>
    </row>
    <row r="12" spans="4:5">
      <c r="D12" s="133" t="s">
        <v>644</v>
      </c>
      <c r="E12" t="s">
        <v>645</v>
      </c>
    </row>
    <row r="13" spans="4:5">
      <c r="D13" s="133" t="s">
        <v>646</v>
      </c>
      <c r="E13" t="s">
        <v>647</v>
      </c>
    </row>
    <row r="14" spans="4:5">
      <c r="D14" s="133" t="s">
        <v>648</v>
      </c>
      <c r="E14" t="s">
        <v>649</v>
      </c>
    </row>
    <row r="15" spans="4:5">
      <c r="D15" s="133" t="s">
        <v>650</v>
      </c>
      <c r="E15" t="s">
        <v>651</v>
      </c>
    </row>
    <row r="16" spans="4:5">
      <c r="D16" s="187" t="s">
        <v>652</v>
      </c>
      <c r="E16" t="s">
        <v>653</v>
      </c>
    </row>
    <row r="17" spans="1:11">
      <c r="D17" s="188"/>
    </row>
    <row r="18" spans="1:11" ht="18.75">
      <c r="D18" s="188"/>
      <c r="E18" s="189" t="s">
        <v>654</v>
      </c>
    </row>
    <row r="19" spans="1:11">
      <c r="D19" s="188"/>
    </row>
    <row r="22" spans="1:11">
      <c r="A22" s="138" t="s">
        <v>558</v>
      </c>
      <c r="B22" s="138" t="s">
        <v>559</v>
      </c>
      <c r="C22" s="138" t="s">
        <v>560</v>
      </c>
      <c r="D22" s="245" t="s">
        <v>561</v>
      </c>
      <c r="E22" s="245"/>
      <c r="F22" s="245"/>
      <c r="G22" s="245" t="s">
        <v>562</v>
      </c>
      <c r="H22" s="245"/>
      <c r="I22" s="245" t="s">
        <v>563</v>
      </c>
      <c r="J22" s="245"/>
      <c r="K22" s="190" t="s">
        <v>564</v>
      </c>
    </row>
    <row r="23" spans="1:11">
      <c r="A23">
        <v>1.4074451482589501</v>
      </c>
      <c r="B23">
        <v>52.674427331214901</v>
      </c>
      <c r="C23">
        <v>22</v>
      </c>
      <c r="D23" s="190" t="s">
        <v>655</v>
      </c>
      <c r="E23" s="191" t="s">
        <v>564</v>
      </c>
      <c r="F23" s="191" t="s">
        <v>656</v>
      </c>
      <c r="G23" s="192" t="s">
        <v>657</v>
      </c>
      <c r="H23" s="192" t="s">
        <v>658</v>
      </c>
      <c r="I23" s="193" t="s">
        <v>659</v>
      </c>
      <c r="J23" s="193" t="s">
        <v>660</v>
      </c>
      <c r="K23" s="188">
        <v>0.42</v>
      </c>
    </row>
    <row r="24" spans="1:11">
      <c r="A24">
        <v>1.0877968651515899</v>
      </c>
      <c r="B24">
        <v>52.448492714297203</v>
      </c>
      <c r="C24">
        <v>55</v>
      </c>
      <c r="G24" t="s">
        <v>662</v>
      </c>
      <c r="H24">
        <v>35</v>
      </c>
      <c r="I24" t="s">
        <v>663</v>
      </c>
      <c r="J24" t="s">
        <v>690</v>
      </c>
    </row>
    <row r="25" spans="1:11">
      <c r="G25" t="s">
        <v>665</v>
      </c>
      <c r="H25">
        <v>9</v>
      </c>
      <c r="I25" t="s">
        <v>666</v>
      </c>
      <c r="J25" t="s">
        <v>691</v>
      </c>
    </row>
    <row r="26" spans="1:11">
      <c r="G26" t="s">
        <v>668</v>
      </c>
      <c r="H26">
        <v>17</v>
      </c>
      <c r="I26" t="s">
        <v>669</v>
      </c>
      <c r="J26" t="s">
        <v>690</v>
      </c>
    </row>
    <row r="27" spans="1:11">
      <c r="G27" t="s">
        <v>670</v>
      </c>
      <c r="H27">
        <v>1</v>
      </c>
    </row>
    <row r="28" spans="1:11">
      <c r="G28" t="s">
        <v>671</v>
      </c>
      <c r="H28">
        <v>50</v>
      </c>
    </row>
    <row r="29" spans="1:11">
      <c r="G29" t="s">
        <v>672</v>
      </c>
      <c r="H29">
        <v>204</v>
      </c>
    </row>
    <row r="30" spans="1:11">
      <c r="G30" t="s">
        <v>673</v>
      </c>
      <c r="H30">
        <v>54</v>
      </c>
    </row>
  </sheetData>
  <mergeCells count="3">
    <mergeCell ref="D22:F22"/>
    <mergeCell ref="G22:H22"/>
    <mergeCell ref="I22:J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3:V79"/>
  <sheetViews>
    <sheetView zoomScale="80" zoomScaleNormal="80" workbookViewId="0">
      <selection activeCell="B97" sqref="B97"/>
    </sheetView>
  </sheetViews>
  <sheetFormatPr defaultRowHeight="15"/>
  <cols>
    <col min="1" max="1" width="7.28515625" customWidth="1"/>
    <col min="2" max="2" width="18.5703125" customWidth="1"/>
    <col min="3" max="3" width="48.85546875" customWidth="1"/>
    <col min="4" max="4" width="20.42578125" customWidth="1"/>
    <col min="5" max="5" width="21" customWidth="1"/>
    <col min="7" max="7" width="17" customWidth="1"/>
    <col min="8" max="8" width="20.28515625" customWidth="1"/>
    <col min="9" max="9" width="23.7109375" customWidth="1"/>
    <col min="11" max="11" width="10.7109375" customWidth="1"/>
    <col min="12" max="12" width="4" customWidth="1"/>
    <col min="13" max="13" width="31.42578125" customWidth="1"/>
    <col min="14" max="14" width="29.5703125" customWidth="1"/>
    <col min="15" max="15" width="42.7109375" customWidth="1"/>
    <col min="16" max="16" width="17.140625" customWidth="1"/>
    <col min="17" max="17" width="28.5703125" customWidth="1"/>
    <col min="18" max="18" width="15.28515625" customWidth="1"/>
    <col min="21" max="21" width="34.7109375" customWidth="1"/>
    <col min="22" max="22" width="17.28515625" customWidth="1"/>
  </cols>
  <sheetData>
    <row r="3" spans="2:22">
      <c r="G3" s="282" t="s">
        <v>26</v>
      </c>
      <c r="H3" s="250"/>
      <c r="I3" s="250"/>
      <c r="J3" s="250"/>
      <c r="K3" s="250"/>
      <c r="L3" s="250"/>
    </row>
    <row r="4" spans="2:22">
      <c r="G4" s="250"/>
      <c r="H4" s="250"/>
      <c r="I4" s="250"/>
      <c r="J4" s="250"/>
      <c r="K4" s="250"/>
      <c r="L4" s="250"/>
    </row>
    <row r="5" spans="2:22">
      <c r="G5" s="250"/>
      <c r="H5" s="250"/>
      <c r="I5" s="250"/>
      <c r="J5" s="250"/>
      <c r="K5" s="250"/>
      <c r="L5" s="250"/>
    </row>
    <row r="6" spans="2:22">
      <c r="G6" s="250"/>
      <c r="H6" s="250"/>
      <c r="I6" s="250"/>
      <c r="J6" s="250"/>
      <c r="K6" s="250"/>
      <c r="L6" s="250"/>
    </row>
    <row r="10" spans="2:22" ht="15.75" thickBot="1"/>
    <row r="11" spans="2:22">
      <c r="B11" s="246" t="s">
        <v>25</v>
      </c>
      <c r="C11" s="247"/>
      <c r="D11" s="247"/>
      <c r="E11" s="248"/>
      <c r="L11" s="286" t="s">
        <v>27</v>
      </c>
      <c r="M11" s="287"/>
      <c r="N11" s="287"/>
      <c r="O11" s="288"/>
      <c r="Q11" s="252" t="s">
        <v>138</v>
      </c>
      <c r="R11" s="253"/>
      <c r="U11" s="252" t="s">
        <v>139</v>
      </c>
      <c r="V11" s="253"/>
    </row>
    <row r="12" spans="2:22">
      <c r="B12" s="283"/>
      <c r="C12" s="284"/>
      <c r="D12" s="284"/>
      <c r="E12" s="285"/>
      <c r="H12" s="27" t="s">
        <v>131</v>
      </c>
      <c r="I12" s="27" t="s">
        <v>128</v>
      </c>
      <c r="L12" s="289"/>
      <c r="M12" s="290"/>
      <c r="N12" s="290"/>
      <c r="O12" s="291"/>
      <c r="Q12" s="254"/>
      <c r="R12" s="255"/>
      <c r="U12" s="254"/>
      <c r="V12" s="255"/>
    </row>
    <row r="13" spans="2:22">
      <c r="B13" s="243" t="s">
        <v>0</v>
      </c>
      <c r="C13" s="244"/>
      <c r="D13" s="5">
        <f>fgin*3600*24</f>
        <v>2592000</v>
      </c>
      <c r="E13" s="12" t="s">
        <v>91</v>
      </c>
      <c r="H13" s="27" t="s">
        <v>129</v>
      </c>
      <c r="I13" s="27" t="s">
        <v>130</v>
      </c>
      <c r="L13" s="243" t="s">
        <v>28</v>
      </c>
      <c r="M13" s="244"/>
      <c r="N13" s="5">
        <f>D13*35.31</f>
        <v>91523520</v>
      </c>
      <c r="O13" s="12" t="s">
        <v>30</v>
      </c>
      <c r="Q13" s="10" t="s">
        <v>118</v>
      </c>
      <c r="R13" s="42" t="s">
        <v>137</v>
      </c>
      <c r="U13" s="10" t="s">
        <v>118</v>
      </c>
      <c r="V13" s="42" t="s">
        <v>136</v>
      </c>
    </row>
    <row r="14" spans="2:22" ht="15.75" thickBot="1">
      <c r="B14" s="243" t="s">
        <v>1</v>
      </c>
      <c r="C14" s="244"/>
      <c r="D14" s="24">
        <f>Linput</f>
        <v>0.42</v>
      </c>
      <c r="E14" s="12" t="s">
        <v>2</v>
      </c>
      <c r="L14" s="243" t="s">
        <v>29</v>
      </c>
      <c r="M14" s="244"/>
      <c r="N14" s="23">
        <f>14.7</f>
        <v>14.7</v>
      </c>
      <c r="O14" s="12" t="s">
        <v>33</v>
      </c>
      <c r="Q14" s="10"/>
      <c r="R14" s="12"/>
      <c r="U14" s="10"/>
      <c r="V14" s="12"/>
    </row>
    <row r="15" spans="2:22">
      <c r="B15" s="243" t="s">
        <v>3</v>
      </c>
      <c r="C15" s="244"/>
      <c r="D15" s="24">
        <f>delpinput</f>
        <v>2.92</v>
      </c>
      <c r="E15" s="12" t="s">
        <v>17</v>
      </c>
      <c r="H15" s="262" t="s">
        <v>121</v>
      </c>
      <c r="I15" s="263"/>
      <c r="J15" s="264"/>
      <c r="L15" s="243" t="s">
        <v>31</v>
      </c>
      <c r="M15" s="244"/>
      <c r="N15" s="23">
        <f>518.67</f>
        <v>518.66999999999996</v>
      </c>
      <c r="O15" s="12" t="s">
        <v>40</v>
      </c>
      <c r="Q15" s="10" t="s">
        <v>119</v>
      </c>
      <c r="R15" s="42">
        <v>0</v>
      </c>
      <c r="U15" s="10" t="s">
        <v>119</v>
      </c>
      <c r="V15" s="42">
        <v>0</v>
      </c>
    </row>
    <row r="16" spans="2:22">
      <c r="B16" s="243" t="s">
        <v>12</v>
      </c>
      <c r="C16" s="244"/>
      <c r="D16" s="24">
        <v>1</v>
      </c>
      <c r="E16" s="12" t="s">
        <v>17</v>
      </c>
      <c r="H16" s="265"/>
      <c r="I16" s="266"/>
      <c r="J16" s="267"/>
      <c r="L16" s="243" t="s">
        <v>89</v>
      </c>
      <c r="M16" s="244"/>
      <c r="N16" s="24">
        <v>520.29999999999995</v>
      </c>
      <c r="O16" s="12" t="s">
        <v>40</v>
      </c>
      <c r="Q16" s="10"/>
      <c r="R16" s="12"/>
      <c r="U16" s="10"/>
      <c r="V16" s="12"/>
    </row>
    <row r="17" spans="2:22" ht="15.75" thickBot="1">
      <c r="B17" s="243" t="s">
        <v>11</v>
      </c>
      <c r="C17" s="244"/>
      <c r="D17" s="24">
        <v>298.14999999999998</v>
      </c>
      <c r="E17" s="12" t="s">
        <v>18</v>
      </c>
      <c r="H17" s="10" t="s">
        <v>126</v>
      </c>
      <c r="I17" s="5">
        <v>20.468956165881114</v>
      </c>
      <c r="J17" s="12" t="s">
        <v>39</v>
      </c>
      <c r="L17" s="243" t="s">
        <v>32</v>
      </c>
      <c r="M17" s="244"/>
      <c r="N17" s="5">
        <f>D19*14.7</f>
        <v>57.623999999999995</v>
      </c>
      <c r="O17" s="12" t="s">
        <v>33</v>
      </c>
      <c r="Q17" s="22" t="s">
        <v>120</v>
      </c>
      <c r="R17" s="43" t="s">
        <v>124</v>
      </c>
      <c r="U17" s="22" t="s">
        <v>120</v>
      </c>
      <c r="V17" s="43" t="s">
        <v>123</v>
      </c>
    </row>
    <row r="18" spans="2:22" ht="15.75" thickBot="1">
      <c r="B18" s="243" t="s">
        <v>10</v>
      </c>
      <c r="C18" s="244"/>
      <c r="D18" s="1" t="s">
        <v>142</v>
      </c>
      <c r="E18" s="12" t="s">
        <v>2</v>
      </c>
      <c r="H18" s="22" t="s">
        <v>127</v>
      </c>
      <c r="I18" s="18">
        <v>21.709825545800854</v>
      </c>
      <c r="J18" s="16" t="s">
        <v>39</v>
      </c>
      <c r="L18" s="243" t="s">
        <v>34</v>
      </c>
      <c r="M18" s="244"/>
      <c r="N18" s="5">
        <f>D16*14.7</f>
        <v>14.7</v>
      </c>
      <c r="O18" s="12" t="s">
        <v>33</v>
      </c>
    </row>
    <row r="19" spans="2:22" ht="15.75" thickBot="1">
      <c r="B19" s="261" t="s">
        <v>41</v>
      </c>
      <c r="C19" s="257"/>
      <c r="D19" s="18">
        <f>D15+D16</f>
        <v>3.92</v>
      </c>
      <c r="E19" s="16" t="s">
        <v>17</v>
      </c>
      <c r="L19" s="228" t="s">
        <v>35</v>
      </c>
      <c r="M19" s="229"/>
      <c r="N19" s="28">
        <f>N26/N25</f>
        <v>0.69434737569060767</v>
      </c>
      <c r="O19" s="12" t="s">
        <v>7</v>
      </c>
    </row>
    <row r="20" spans="2:22">
      <c r="B20" s="6"/>
      <c r="C20" s="6"/>
      <c r="L20" s="228" t="s">
        <v>1</v>
      </c>
      <c r="M20" s="229"/>
      <c r="N20" s="28">
        <f>D14*0.00062</f>
        <v>2.6039999999999999E-4</v>
      </c>
      <c r="O20" s="12" t="s">
        <v>38</v>
      </c>
    </row>
    <row r="21" spans="2:22">
      <c r="L21" s="228" t="s">
        <v>36</v>
      </c>
      <c r="M21" s="229"/>
      <c r="N21" s="28">
        <f>C51</f>
        <v>6.0114117952055728E-2</v>
      </c>
      <c r="O21" s="12" t="s">
        <v>7</v>
      </c>
    </row>
    <row r="22" spans="2:22" ht="15.75" thickBot="1">
      <c r="L22" s="292" t="s">
        <v>125</v>
      </c>
      <c r="M22" s="293"/>
      <c r="N22" s="33">
        <f>SUMPRODUCT(N31:N42,P31:P42)</f>
        <v>1.3863000000000001E-5</v>
      </c>
      <c r="O22" s="12" t="s">
        <v>39</v>
      </c>
    </row>
    <row r="23" spans="2:22">
      <c r="B23" s="246" t="s">
        <v>42</v>
      </c>
      <c r="C23" s="296"/>
      <c r="D23" s="6"/>
      <c r="E23" s="7"/>
      <c r="L23" s="228" t="s">
        <v>37</v>
      </c>
      <c r="M23" s="229"/>
      <c r="N23" s="28">
        <f xml:space="preserve"> (2/3) * ( N17 + N18 - ( (N17*N18)/(N17+N18)))</f>
        <v>40.407869918699184</v>
      </c>
      <c r="O23" s="12" t="s">
        <v>23</v>
      </c>
    </row>
    <row r="24" spans="2:22">
      <c r="B24" s="297"/>
      <c r="C24" s="298"/>
      <c r="E24" s="8"/>
      <c r="L24" s="228" t="s">
        <v>67</v>
      </c>
      <c r="M24" s="229"/>
      <c r="N24" s="33">
        <v>0.9</v>
      </c>
      <c r="O24" s="12" t="s">
        <v>7</v>
      </c>
    </row>
    <row r="25" spans="2:22">
      <c r="B25" s="294" t="s">
        <v>63</v>
      </c>
      <c r="C25" s="295"/>
      <c r="E25" s="8"/>
      <c r="L25" s="243" t="s">
        <v>84</v>
      </c>
      <c r="M25" s="244"/>
      <c r="N25" s="23">
        <f>28.96</f>
        <v>28.96</v>
      </c>
      <c r="O25" s="12" t="s">
        <v>85</v>
      </c>
    </row>
    <row r="26" spans="2:22" ht="15.75" thickBot="1">
      <c r="B26" s="9"/>
      <c r="E26" s="8"/>
      <c r="L26" s="261" t="s">
        <v>86</v>
      </c>
      <c r="M26" s="257"/>
      <c r="N26" s="18">
        <f>SUMPRODUCT(N31:N42,O31:O42)</f>
        <v>20.1083</v>
      </c>
      <c r="O26" s="16" t="s">
        <v>85</v>
      </c>
    </row>
    <row r="27" spans="2:22" ht="15.75" thickBot="1">
      <c r="B27" s="299" t="s">
        <v>50</v>
      </c>
      <c r="C27" s="300"/>
      <c r="D27" s="300"/>
      <c r="E27" s="8"/>
      <c r="L27" s="279"/>
      <c r="M27" s="279"/>
      <c r="N27" s="27"/>
      <c r="O27" s="27"/>
    </row>
    <row r="28" spans="2:22">
      <c r="B28" s="10" t="s">
        <v>43</v>
      </c>
      <c r="C28" s="3">
        <f>(D17-273.15)*1.8 + 32</f>
        <v>77</v>
      </c>
      <c r="D28" s="5" t="s">
        <v>44</v>
      </c>
      <c r="E28" s="8"/>
      <c r="L28" s="249" t="s">
        <v>114</v>
      </c>
      <c r="M28" s="250"/>
      <c r="N28" s="250"/>
      <c r="O28" s="250"/>
      <c r="P28" s="247"/>
      <c r="Q28" s="248"/>
    </row>
    <row r="29" spans="2:22">
      <c r="B29" s="10" t="s">
        <v>45</v>
      </c>
      <c r="C29" s="3">
        <f>N17</f>
        <v>57.623999999999995</v>
      </c>
      <c r="D29" s="5" t="s">
        <v>46</v>
      </c>
      <c r="E29" s="8"/>
      <c r="L29" s="249"/>
      <c r="M29" s="250"/>
      <c r="N29" s="250"/>
      <c r="O29" s="250"/>
      <c r="P29" s="250"/>
      <c r="Q29" s="251"/>
    </row>
    <row r="30" spans="2:22" ht="15.75" thickBot="1">
      <c r="B30" s="10" t="s">
        <v>47</v>
      </c>
      <c r="C30" s="38">
        <v>0.7</v>
      </c>
      <c r="D30" s="5" t="s">
        <v>48</v>
      </c>
      <c r="E30" s="8"/>
      <c r="L30" s="276" t="s">
        <v>69</v>
      </c>
      <c r="M30" s="277"/>
      <c r="N30" s="21" t="s">
        <v>83</v>
      </c>
      <c r="O30" s="21" t="s">
        <v>82</v>
      </c>
      <c r="P30" s="280" t="s">
        <v>113</v>
      </c>
      <c r="Q30" s="281"/>
    </row>
    <row r="31" spans="2:22">
      <c r="B31" s="11"/>
      <c r="E31" s="8"/>
      <c r="L31" s="278" t="s">
        <v>70</v>
      </c>
      <c r="M31" s="259"/>
      <c r="N31" s="34">
        <f>gcinp1</f>
        <v>0.75</v>
      </c>
      <c r="O31" s="41">
        <f>16.04</f>
        <v>16.04</v>
      </c>
      <c r="P31" s="259">
        <v>1.5400000000000002E-5</v>
      </c>
      <c r="Q31" s="260"/>
    </row>
    <row r="32" spans="2:22">
      <c r="B32" s="299" t="s">
        <v>56</v>
      </c>
      <c r="C32" s="300"/>
      <c r="D32" s="300"/>
      <c r="E32" s="301"/>
      <c r="L32" s="228" t="s">
        <v>71</v>
      </c>
      <c r="M32" s="229"/>
      <c r="N32" s="24">
        <f>gcinp2</f>
        <v>0.21</v>
      </c>
      <c r="O32" s="23">
        <f>30.07</f>
        <v>30.07</v>
      </c>
      <c r="P32" s="229">
        <v>1.01E-5</v>
      </c>
      <c r="Q32" s="256"/>
    </row>
    <row r="33" spans="2:18">
      <c r="B33" s="10" t="s">
        <v>51</v>
      </c>
      <c r="C33" s="5">
        <f>169+314*C30</f>
        <v>388.79999999999995</v>
      </c>
      <c r="D33" s="5" t="s">
        <v>49</v>
      </c>
      <c r="E33" s="12" t="s">
        <v>7</v>
      </c>
      <c r="L33" s="228" t="s">
        <v>72</v>
      </c>
      <c r="M33" s="229"/>
      <c r="N33" s="24">
        <f>gcinp3</f>
        <v>0.04</v>
      </c>
      <c r="O33" s="23">
        <f>44.09</f>
        <v>44.09</v>
      </c>
      <c r="P33" s="229">
        <v>4.7999999999999998E-6</v>
      </c>
      <c r="Q33" s="256"/>
    </row>
    <row r="34" spans="2:18">
      <c r="B34" s="10" t="s">
        <v>52</v>
      </c>
      <c r="C34" s="5">
        <f>708.75-57.7*C30</f>
        <v>668.36</v>
      </c>
      <c r="D34" s="5" t="s">
        <v>46</v>
      </c>
      <c r="E34" s="12" t="s">
        <v>7</v>
      </c>
      <c r="L34" s="228" t="s">
        <v>73</v>
      </c>
      <c r="M34" s="229"/>
      <c r="N34" s="24">
        <f>gcinp4</f>
        <v>0</v>
      </c>
      <c r="O34" s="23">
        <f>58.12</f>
        <v>58.12</v>
      </c>
      <c r="P34" s="229">
        <v>1.9E-6</v>
      </c>
      <c r="Q34" s="256"/>
    </row>
    <row r="35" spans="2:18">
      <c r="B35" s="10" t="s">
        <v>53</v>
      </c>
      <c r="C35" s="5">
        <f>(C28+460)/C33</f>
        <v>1.3811728395061731</v>
      </c>
      <c r="D35" s="5" t="s">
        <v>7</v>
      </c>
      <c r="E35" s="12" t="s">
        <v>7</v>
      </c>
      <c r="L35" s="228" t="s">
        <v>74</v>
      </c>
      <c r="M35" s="229"/>
      <c r="N35" s="24">
        <f>gcinp5</f>
        <v>0</v>
      </c>
      <c r="O35" s="23">
        <f>58.12</f>
        <v>58.12</v>
      </c>
      <c r="P35" s="229">
        <v>1.7999999999999999E-6</v>
      </c>
      <c r="Q35" s="256"/>
    </row>
    <row r="36" spans="2:18">
      <c r="B36" s="10" t="s">
        <v>54</v>
      </c>
      <c r="C36" s="5">
        <f>1/C35</f>
        <v>0.72402234636871499</v>
      </c>
      <c r="D36" s="5" t="s">
        <v>7</v>
      </c>
      <c r="E36" s="12" t="s">
        <v>7</v>
      </c>
      <c r="L36" s="228" t="s">
        <v>75</v>
      </c>
      <c r="M36" s="229"/>
      <c r="N36" s="24">
        <f>gcinp6</f>
        <v>0</v>
      </c>
      <c r="O36" s="23">
        <f>72.15</f>
        <v>72.150000000000006</v>
      </c>
      <c r="P36" s="229">
        <v>1.1000000000000001E-6</v>
      </c>
      <c r="Q36" s="256"/>
    </row>
    <row r="37" spans="2:18">
      <c r="B37" s="10" t="s">
        <v>55</v>
      </c>
      <c r="C37" s="5">
        <f>C29/C34</f>
        <v>8.6217008797653955E-2</v>
      </c>
      <c r="D37" s="5" t="s">
        <v>7</v>
      </c>
      <c r="E37" s="12" t="s">
        <v>7</v>
      </c>
      <c r="L37" s="228" t="s">
        <v>76</v>
      </c>
      <c r="M37" s="229"/>
      <c r="N37" s="24">
        <f>gcinp7</f>
        <v>0</v>
      </c>
      <c r="O37" s="23">
        <f>72.15</f>
        <v>72.150000000000006</v>
      </c>
      <c r="P37" s="229">
        <v>7.9999999999999996E-7</v>
      </c>
      <c r="Q37" s="256"/>
    </row>
    <row r="38" spans="2:18">
      <c r="B38" s="11"/>
      <c r="E38" s="8"/>
      <c r="L38" s="228" t="s">
        <v>77</v>
      </c>
      <c r="M38" s="229"/>
      <c r="N38" s="24">
        <f>gcinp8</f>
        <v>0</v>
      </c>
      <c r="O38" s="23">
        <f>34.082</f>
        <v>34.082000000000001</v>
      </c>
      <c r="P38" s="229">
        <v>6.9999999999999997E-7</v>
      </c>
      <c r="Q38" s="256"/>
    </row>
    <row r="39" spans="2:18">
      <c r="B39" s="11"/>
      <c r="E39" s="8"/>
      <c r="L39" s="228" t="s">
        <v>78</v>
      </c>
      <c r="M39" s="229"/>
      <c r="N39" s="24">
        <f>gcinp9</f>
        <v>0</v>
      </c>
      <c r="O39" s="23">
        <f>2.016</f>
        <v>2.016</v>
      </c>
      <c r="P39" s="229">
        <v>1.45E-5</v>
      </c>
      <c r="Q39" s="256"/>
    </row>
    <row r="40" spans="2:18">
      <c r="B40" s="299" t="s">
        <v>61</v>
      </c>
      <c r="C40" s="302"/>
      <c r="E40" s="8"/>
      <c r="L40" s="228" t="s">
        <v>79</v>
      </c>
      <c r="M40" s="229"/>
      <c r="N40" s="24">
        <f>gcinp10</f>
        <v>0</v>
      </c>
      <c r="O40" s="23">
        <f>44.01</f>
        <v>44.01</v>
      </c>
      <c r="P40" s="229">
        <v>8.8999999999999995E-6</v>
      </c>
      <c r="Q40" s="256"/>
    </row>
    <row r="41" spans="2:18">
      <c r="B41" s="10" t="s">
        <v>57</v>
      </c>
      <c r="C41" s="5">
        <f>0.06125*C36*EXP(-1.2*(1-C36)^2)</f>
        <v>4.047297345024161E-2</v>
      </c>
      <c r="E41" s="8"/>
      <c r="L41" s="228" t="s">
        <v>80</v>
      </c>
      <c r="M41" s="229"/>
      <c r="N41" s="24">
        <f>gcinp11</f>
        <v>0</v>
      </c>
      <c r="O41" s="23">
        <f>28.01</f>
        <v>28.01</v>
      </c>
      <c r="P41" s="229">
        <v>1.7200000000000001E-5</v>
      </c>
      <c r="Q41" s="256"/>
    </row>
    <row r="42" spans="2:18" ht="15.75" thickBot="1">
      <c r="B42" s="10" t="s">
        <v>58</v>
      </c>
      <c r="C42" s="5">
        <f>C36*(14.76-9.76*C36+4.58*C36*C36)</f>
        <v>7.30858288733761</v>
      </c>
      <c r="E42" s="8"/>
      <c r="L42" s="261" t="s">
        <v>81</v>
      </c>
      <c r="M42" s="257"/>
      <c r="N42" s="35">
        <f>gcinp12</f>
        <v>0</v>
      </c>
      <c r="O42" s="40">
        <f>31.99</f>
        <v>31.99</v>
      </c>
      <c r="P42" s="257">
        <v>1.29E-5</v>
      </c>
      <c r="Q42" s="258"/>
    </row>
    <row r="43" spans="2:18" ht="15.75" thickBot="1">
      <c r="B43" s="10" t="s">
        <v>59</v>
      </c>
      <c r="C43" s="5">
        <f>C36*(90.7-242.2*C36+42.4*C36*C36)</f>
        <v>-45.202002330045332</v>
      </c>
      <c r="E43" s="8"/>
      <c r="N43" s="36"/>
    </row>
    <row r="44" spans="2:18">
      <c r="B44" s="10" t="s">
        <v>60</v>
      </c>
      <c r="C44" s="5">
        <f>2.18+2.82*C36</f>
        <v>4.2217430167597758</v>
      </c>
      <c r="E44" s="8"/>
      <c r="L44" s="246" t="s">
        <v>132</v>
      </c>
      <c r="M44" s="247"/>
      <c r="N44" s="248"/>
      <c r="P44" s="246" t="s">
        <v>133</v>
      </c>
      <c r="Q44" s="247"/>
      <c r="R44" s="248"/>
    </row>
    <row r="45" spans="2:18">
      <c r="B45" s="11"/>
      <c r="E45" s="8"/>
      <c r="L45" s="249"/>
      <c r="M45" s="250"/>
      <c r="N45" s="251"/>
      <c r="P45" s="249"/>
      <c r="Q45" s="250"/>
      <c r="R45" s="251"/>
    </row>
    <row r="46" spans="2:18">
      <c r="B46" s="299" t="s">
        <v>64</v>
      </c>
      <c r="C46" s="302"/>
      <c r="D46" s="302"/>
      <c r="E46" s="8"/>
      <c r="L46" s="228" t="s">
        <v>115</v>
      </c>
      <c r="M46" s="229"/>
      <c r="N46" s="19">
        <f>(3.1416*(diameter1*0.0254)^2 )/4</f>
        <v>0.21229986700290507</v>
      </c>
      <c r="P46" s="228" t="s">
        <v>115</v>
      </c>
      <c r="Q46" s="229"/>
      <c r="R46" s="19">
        <f>(3.1416*(diameter2*0.0254)^2 )/4</f>
        <v>0.23882016681996329</v>
      </c>
    </row>
    <row r="47" spans="2:18">
      <c r="B47" s="10" t="s">
        <v>65</v>
      </c>
      <c r="C47" s="37">
        <v>5.8047241262189499E-2</v>
      </c>
      <c r="D47" s="5" t="s">
        <v>7</v>
      </c>
      <c r="E47" s="8"/>
      <c r="L47" s="228" t="s">
        <v>116</v>
      </c>
      <c r="M47" s="229"/>
      <c r="N47" s="19">
        <f xml:space="preserve"> ( (D13/(3600*24))/N46 )</f>
        <v>141.30955625888114</v>
      </c>
      <c r="P47" s="228" t="s">
        <v>116</v>
      </c>
      <c r="Q47" s="229"/>
      <c r="R47" s="19">
        <f xml:space="preserve"> ( (flowrate/(3600*24))/R46 )</f>
        <v>125.61753221877517</v>
      </c>
    </row>
    <row r="48" spans="2:18" ht="15.75" thickBot="1">
      <c r="B48" s="10" t="s">
        <v>66</v>
      </c>
      <c r="C48" s="4">
        <f>-C41*C37+(C47+C47*C47+C47^3-C47^4)/(1-C47)^3-C42*C47^2+C43*C47^C44</f>
        <v>4.5316937916614793E-2</v>
      </c>
      <c r="D48" s="5" t="s">
        <v>7</v>
      </c>
      <c r="E48" s="8"/>
      <c r="L48" s="261" t="s">
        <v>117</v>
      </c>
      <c r="M48" s="257"/>
      <c r="N48" s="20">
        <f xml:space="preserve"> ( N47*(diameter1*0.0254) )/avkv</f>
        <v>5299607.6943830326</v>
      </c>
      <c r="P48" s="261" t="s">
        <v>117</v>
      </c>
      <c r="Q48" s="257"/>
      <c r="R48" s="20">
        <f xml:space="preserve"> ( R47*(diameter2*0.0254) )/avkv</f>
        <v>4996697.8022849401</v>
      </c>
    </row>
    <row r="49" spans="2:15">
      <c r="B49" s="11"/>
      <c r="E49" s="8"/>
      <c r="L49" s="275"/>
      <c r="M49" s="275"/>
    </row>
    <row r="50" spans="2:15">
      <c r="B50" s="299" t="s">
        <v>62</v>
      </c>
      <c r="C50" s="302"/>
      <c r="E50" s="8"/>
      <c r="L50" s="275"/>
      <c r="M50" s="275"/>
    </row>
    <row r="51" spans="2:15" ht="15.75" thickBot="1">
      <c r="B51" s="22" t="s">
        <v>68</v>
      </c>
      <c r="C51" s="13">
        <f>C41*C37/C47</f>
        <v>6.0114117952055728E-2</v>
      </c>
      <c r="D51" s="14"/>
      <c r="E51" s="15"/>
      <c r="L51" s="275"/>
      <c r="M51" s="275"/>
    </row>
    <row r="52" spans="2:15">
      <c r="L52" s="275"/>
      <c r="M52" s="275"/>
    </row>
    <row r="54" spans="2:15">
      <c r="F54" s="250" t="s">
        <v>87</v>
      </c>
      <c r="G54" s="298"/>
      <c r="H54" s="298"/>
      <c r="I54" s="298"/>
      <c r="J54" s="298"/>
      <c r="K54" s="298"/>
    </row>
    <row r="55" spans="2:15">
      <c r="F55" s="298"/>
      <c r="G55" s="298"/>
      <c r="H55" s="298"/>
      <c r="I55" s="298"/>
      <c r="J55" s="298"/>
      <c r="K55" s="298"/>
    </row>
    <row r="56" spans="2:15">
      <c r="F56" s="298"/>
      <c r="G56" s="298"/>
      <c r="H56" s="298"/>
      <c r="I56" s="298"/>
      <c r="J56" s="298"/>
      <c r="K56" s="298"/>
    </row>
    <row r="58" spans="2:15" ht="15.75" thickBot="1"/>
    <row r="59" spans="2:15">
      <c r="C59" s="252" t="s">
        <v>134</v>
      </c>
      <c r="D59" s="273"/>
      <c r="E59" s="253"/>
      <c r="M59" s="252" t="s">
        <v>135</v>
      </c>
      <c r="N59" s="273"/>
      <c r="O59" s="253"/>
    </row>
    <row r="60" spans="2:15">
      <c r="C60" s="254"/>
      <c r="D60" s="274"/>
      <c r="E60" s="255"/>
      <c r="M60" s="254"/>
      <c r="N60" s="274"/>
      <c r="O60" s="255"/>
    </row>
    <row r="61" spans="2:15">
      <c r="C61" s="254"/>
      <c r="D61" s="274"/>
      <c r="E61" s="255"/>
      <c r="M61" s="254"/>
      <c r="N61" s="274"/>
      <c r="O61" s="255"/>
    </row>
    <row r="62" spans="2:15">
      <c r="C62" s="10" t="s">
        <v>92</v>
      </c>
      <c r="D62" s="5">
        <f xml:space="preserve"> N13</f>
        <v>91523520</v>
      </c>
      <c r="E62" s="12" t="s">
        <v>30</v>
      </c>
      <c r="M62" s="10" t="s">
        <v>92</v>
      </c>
      <c r="N62" s="5">
        <f xml:space="preserve"> N13</f>
        <v>91523520</v>
      </c>
      <c r="O62" s="12" t="s">
        <v>30</v>
      </c>
    </row>
    <row r="63" spans="2:15">
      <c r="C63" s="10" t="s">
        <v>88</v>
      </c>
      <c r="D63" s="5">
        <f xml:space="preserve"> 433.5 * (N15/N14) * (diameter2^2.667) * N24 * ( SQRT( (N17^2 - N18^2) / (N19*N20*N16*N21) ) )</f>
        <v>37448559558.004333</v>
      </c>
      <c r="E63" s="12" t="s">
        <v>90</v>
      </c>
      <c r="M63" s="10" t="s">
        <v>88</v>
      </c>
      <c r="N63" s="5">
        <f xml:space="preserve"> 435.87 * (N15/N14)^1.0788 * (diameter1)^2.6182 * N24 * ( (N17^2 - N18^2) / ( (N19)^0.8539 * N20 * N16 * N21 ) ) ^0.5394</f>
        <v>60152409273.763618</v>
      </c>
      <c r="O63" s="12" t="s">
        <v>90</v>
      </c>
    </row>
    <row r="64" spans="2:15" ht="15.75" thickBot="1">
      <c r="C64" s="22" t="s">
        <v>93</v>
      </c>
      <c r="D64" s="18">
        <f>D62-D63</f>
        <v>-37357036038.004333</v>
      </c>
      <c r="E64" s="16" t="s">
        <v>30</v>
      </c>
      <c r="M64" s="22" t="s">
        <v>93</v>
      </c>
      <c r="N64" s="18">
        <f>N63-N62</f>
        <v>60060885753.763618</v>
      </c>
      <c r="O64" s="16" t="s">
        <v>30</v>
      </c>
    </row>
    <row r="65" spans="3:15">
      <c r="C65" s="27"/>
      <c r="D65" s="27"/>
      <c r="E65" s="27"/>
      <c r="M65" s="27"/>
      <c r="N65" s="27"/>
      <c r="O65" s="27"/>
    </row>
    <row r="66" spans="3:15" ht="15.75" thickBot="1">
      <c r="C66" s="27"/>
      <c r="D66" s="27"/>
      <c r="E66" s="27"/>
      <c r="M66" s="27"/>
      <c r="N66" s="27"/>
      <c r="O66" s="27"/>
    </row>
    <row r="67" spans="3:15">
      <c r="C67" s="27"/>
      <c r="D67" s="27"/>
      <c r="E67" s="27"/>
      <c r="H67" s="246" t="s">
        <v>122</v>
      </c>
      <c r="I67" s="268"/>
      <c r="J67" s="269"/>
      <c r="M67" s="27"/>
      <c r="N67" s="27"/>
      <c r="O67" s="27"/>
    </row>
    <row r="68" spans="3:15">
      <c r="C68" s="27"/>
      <c r="D68" s="27"/>
      <c r="E68" s="27"/>
      <c r="H68" s="270"/>
      <c r="I68" s="271"/>
      <c r="J68" s="272"/>
      <c r="M68" s="27"/>
      <c r="N68" s="27"/>
      <c r="O68" s="27"/>
    </row>
    <row r="69" spans="3:15">
      <c r="C69" s="27"/>
      <c r="D69" s="27"/>
      <c r="E69" s="27"/>
      <c r="H69" s="10" t="s">
        <v>140</v>
      </c>
      <c r="I69" s="23">
        <f>I17</f>
        <v>20.468956165881114</v>
      </c>
      <c r="J69" s="12" t="s">
        <v>39</v>
      </c>
      <c r="M69" s="27"/>
      <c r="N69" s="27"/>
      <c r="O69" s="27"/>
    </row>
    <row r="70" spans="3:15" ht="15.75" thickBot="1">
      <c r="H70" s="22" t="s">
        <v>141</v>
      </c>
      <c r="I70" s="40">
        <f>I18</f>
        <v>21.709825545800854</v>
      </c>
      <c r="J70" s="16" t="s">
        <v>39</v>
      </c>
    </row>
    <row r="71" spans="3:15" ht="15.75" thickBot="1">
      <c r="H71" s="44" t="s">
        <v>143</v>
      </c>
      <c r="I71" s="45">
        <f xml:space="preserve"> IF(AND(redft,red) &gt;= 10000, I70,I69)</f>
        <v>21.709825545800854</v>
      </c>
      <c r="J71" s="46" t="s">
        <v>39</v>
      </c>
    </row>
    <row r="74" spans="3:15" ht="15.75" thickBot="1"/>
    <row r="75" spans="3:15">
      <c r="H75" s="246" t="s">
        <v>632</v>
      </c>
      <c r="I75" s="268"/>
      <c r="J75" s="269"/>
    </row>
    <row r="76" spans="3:15">
      <c r="H76" s="270"/>
      <c r="I76" s="271"/>
      <c r="J76" s="272"/>
    </row>
    <row r="77" spans="3:15">
      <c r="G77" t="s">
        <v>633</v>
      </c>
      <c r="H77" s="10" t="s">
        <v>140</v>
      </c>
      <c r="I77" s="23">
        <f>( SQRT( (  (N13*N14)/(433.5* (sdia)^2.667 * N24 *N15) )^2 * ( N19*length*N16*N21) + (N18)^2 ) ) / 14.7</f>
        <v>1.000000002066102</v>
      </c>
      <c r="J77" s="12" t="s">
        <v>17</v>
      </c>
    </row>
    <row r="78" spans="3:15" ht="15.75" thickBot="1">
      <c r="G78" t="s">
        <v>634</v>
      </c>
      <c r="H78" s="22" t="s">
        <v>141</v>
      </c>
      <c r="I78" s="40">
        <f xml:space="preserve"> (SQRT( ( (N13*(N14^1.0788))/(435.87*(sdia^2.6182)*N24*(N15^1.0788)) ) ^ 1.853 * ( (N19^0.8539)*length*N16*N21 ) + (N18)^2 ) ) / 14.7</f>
        <v>1.0000000074397142</v>
      </c>
      <c r="J78" s="16" t="s">
        <v>17</v>
      </c>
    </row>
    <row r="79" spans="3:15" ht="15.75" thickBot="1">
      <c r="H79" s="44" t="s">
        <v>635</v>
      </c>
      <c r="I79" s="45">
        <f xml:space="preserve"> IF(AND(redft,red) &gt;= 10000, I78,I77)</f>
        <v>1.0000000074397142</v>
      </c>
      <c r="J79" s="46" t="s">
        <v>17</v>
      </c>
    </row>
  </sheetData>
  <sheetProtection selectLockedCells="1"/>
  <mergeCells count="79">
    <mergeCell ref="H75:J76"/>
    <mergeCell ref="L38:M38"/>
    <mergeCell ref="F54:K56"/>
    <mergeCell ref="C59:E61"/>
    <mergeCell ref="B40:C40"/>
    <mergeCell ref="B46:D46"/>
    <mergeCell ref="B50:C50"/>
    <mergeCell ref="B25:C25"/>
    <mergeCell ref="B19:C19"/>
    <mergeCell ref="B23:C24"/>
    <mergeCell ref="B27:D27"/>
    <mergeCell ref="B32:E32"/>
    <mergeCell ref="L19:M19"/>
    <mergeCell ref="L20:M20"/>
    <mergeCell ref="L21:M21"/>
    <mergeCell ref="L22:M22"/>
    <mergeCell ref="L23:M23"/>
    <mergeCell ref="L24:M24"/>
    <mergeCell ref="B18:C18"/>
    <mergeCell ref="G3:L6"/>
    <mergeCell ref="B11:E12"/>
    <mergeCell ref="B13:C13"/>
    <mergeCell ref="B14:C14"/>
    <mergeCell ref="B15:C15"/>
    <mergeCell ref="B16:C16"/>
    <mergeCell ref="B17:C17"/>
    <mergeCell ref="L11:O12"/>
    <mergeCell ref="L13:M13"/>
    <mergeCell ref="L14:M14"/>
    <mergeCell ref="L15:M15"/>
    <mergeCell ref="L16:M16"/>
    <mergeCell ref="L17:M17"/>
    <mergeCell ref="L18:M18"/>
    <mergeCell ref="L25:M25"/>
    <mergeCell ref="L34:M34"/>
    <mergeCell ref="L35:M35"/>
    <mergeCell ref="L36:M36"/>
    <mergeCell ref="L37:M37"/>
    <mergeCell ref="L30:M30"/>
    <mergeCell ref="L31:M31"/>
    <mergeCell ref="L32:M32"/>
    <mergeCell ref="L33:M33"/>
    <mergeCell ref="L26:M26"/>
    <mergeCell ref="L28:Q29"/>
    <mergeCell ref="L27:M27"/>
    <mergeCell ref="P35:Q35"/>
    <mergeCell ref="P36:Q36"/>
    <mergeCell ref="P37:Q37"/>
    <mergeCell ref="P30:Q30"/>
    <mergeCell ref="P48:Q48"/>
    <mergeCell ref="H15:J16"/>
    <mergeCell ref="H67:J68"/>
    <mergeCell ref="M59:O61"/>
    <mergeCell ref="L39:M39"/>
    <mergeCell ref="L40:M40"/>
    <mergeCell ref="L41:M41"/>
    <mergeCell ref="L42:M42"/>
    <mergeCell ref="L51:M51"/>
    <mergeCell ref="L52:M52"/>
    <mergeCell ref="L46:M46"/>
    <mergeCell ref="L47:M47"/>
    <mergeCell ref="L48:M48"/>
    <mergeCell ref="L49:M49"/>
    <mergeCell ref="L50:M50"/>
    <mergeCell ref="L44:N45"/>
    <mergeCell ref="P44:R45"/>
    <mergeCell ref="P46:Q46"/>
    <mergeCell ref="Q11:R12"/>
    <mergeCell ref="U11:V12"/>
    <mergeCell ref="P47:Q47"/>
    <mergeCell ref="P40:Q40"/>
    <mergeCell ref="P41:Q41"/>
    <mergeCell ref="P42:Q42"/>
    <mergeCell ref="P38:Q38"/>
    <mergeCell ref="P39:Q39"/>
    <mergeCell ref="P31:Q31"/>
    <mergeCell ref="P32:Q32"/>
    <mergeCell ref="P33:Q33"/>
    <mergeCell ref="P34:Q34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C3:AC71"/>
  <sheetViews>
    <sheetView zoomScale="90" zoomScaleNormal="90" workbookViewId="0">
      <selection activeCell="I36" sqref="I36"/>
    </sheetView>
  </sheetViews>
  <sheetFormatPr defaultRowHeight="15"/>
  <cols>
    <col min="3" max="3" width="29.5703125" customWidth="1"/>
    <col min="4" max="4" width="13" customWidth="1"/>
    <col min="5" max="5" width="20.5703125" customWidth="1"/>
    <col min="6" max="6" width="14.28515625" customWidth="1"/>
    <col min="9" max="9" width="26.7109375" customWidth="1"/>
    <col min="10" max="10" width="14.85546875" bestFit="1" customWidth="1"/>
    <col min="15" max="15" width="20.5703125" customWidth="1"/>
    <col min="16" max="16" width="21.5703125" customWidth="1"/>
    <col min="17" max="17" width="14.85546875" customWidth="1"/>
    <col min="18" max="18" width="15" customWidth="1"/>
    <col min="25" max="25" width="20.7109375" customWidth="1"/>
    <col min="26" max="26" width="30.140625" customWidth="1"/>
    <col min="27" max="27" width="13" customWidth="1"/>
    <col min="28" max="28" width="19.85546875" customWidth="1"/>
    <col min="29" max="29" width="21.85546875" customWidth="1"/>
  </cols>
  <sheetData>
    <row r="3" spans="3:26">
      <c r="P3" s="317" t="s">
        <v>181</v>
      </c>
      <c r="Q3" s="317"/>
      <c r="R3" s="318" t="str">
        <f>fueltypin</f>
        <v>Water</v>
      </c>
    </row>
    <row r="4" spans="3:26">
      <c r="P4" s="317"/>
      <c r="Q4" s="317"/>
      <c r="R4" s="318"/>
    </row>
    <row r="5" spans="3:26" ht="15.75" thickBot="1"/>
    <row r="6" spans="3:26" ht="15.75" thickBot="1">
      <c r="Y6" s="252" t="s">
        <v>168</v>
      </c>
      <c r="Z6" s="253"/>
    </row>
    <row r="7" spans="3:26">
      <c r="C7" s="246" t="s">
        <v>25</v>
      </c>
      <c r="D7" s="247"/>
      <c r="E7" s="247"/>
      <c r="F7" s="248"/>
      <c r="N7" s="252" t="s">
        <v>110</v>
      </c>
      <c r="O7" s="273"/>
      <c r="P7" s="273"/>
      <c r="Q7" s="273"/>
      <c r="R7" s="273"/>
      <c r="S7" s="253"/>
      <c r="Y7" s="254"/>
      <c r="Z7" s="255"/>
    </row>
    <row r="8" spans="3:26">
      <c r="C8" s="283"/>
      <c r="D8" s="284"/>
      <c r="E8" s="284"/>
      <c r="F8" s="285"/>
      <c r="N8" s="254"/>
      <c r="O8" s="274"/>
      <c r="P8" s="274"/>
      <c r="Q8" s="274"/>
      <c r="R8" s="274"/>
      <c r="S8" s="255"/>
      <c r="Y8" s="10" t="s">
        <v>118</v>
      </c>
      <c r="Z8" s="42" t="s">
        <v>169</v>
      </c>
    </row>
    <row r="9" spans="3:26">
      <c r="C9" s="243" t="s">
        <v>0</v>
      </c>
      <c r="D9" s="244"/>
      <c r="E9" s="5">
        <f>fllin</f>
        <v>1.9819999999999998E-3</v>
      </c>
      <c r="F9" s="12" t="s">
        <v>102</v>
      </c>
      <c r="N9" s="228" t="s">
        <v>4</v>
      </c>
      <c r="O9" s="229"/>
      <c r="P9" s="229"/>
      <c r="Q9" s="24">
        <f>VLOOKUP(R3,$Y$22:$AC$27,4,0)</f>
        <v>997.7</v>
      </c>
      <c r="R9" s="5" t="s">
        <v>24</v>
      </c>
      <c r="S9" s="19"/>
      <c r="Y9" s="10"/>
      <c r="Z9" s="12"/>
    </row>
    <row r="10" spans="3:26">
      <c r="C10" s="243" t="s">
        <v>1</v>
      </c>
      <c r="D10" s="244"/>
      <c r="E10" s="24">
        <f>Linput</f>
        <v>0.42</v>
      </c>
      <c r="F10" s="12" t="s">
        <v>2</v>
      </c>
      <c r="N10" s="228" t="s">
        <v>98</v>
      </c>
      <c r="O10" s="229"/>
      <c r="P10" s="229"/>
      <c r="Q10" s="24">
        <f>VLOOKUP(R3,$Y$22:$AC$27,2,0)</f>
        <v>8.9099999999999997E-4</v>
      </c>
      <c r="R10" s="5" t="s">
        <v>5</v>
      </c>
      <c r="S10" s="19"/>
      <c r="Y10" s="10" t="s">
        <v>119</v>
      </c>
      <c r="Z10" s="42">
        <v>0</v>
      </c>
    </row>
    <row r="11" spans="3:26">
      <c r="C11" s="243" t="s">
        <v>549</v>
      </c>
      <c r="D11" s="244"/>
      <c r="E11" s="24">
        <f>delpinput</f>
        <v>2.92</v>
      </c>
      <c r="F11" s="12" t="s">
        <v>17</v>
      </c>
      <c r="N11" s="228" t="s">
        <v>19</v>
      </c>
      <c r="O11" s="229"/>
      <c r="P11" s="229"/>
      <c r="Q11" s="5">
        <f>Q10/Q9</f>
        <v>8.9305402425578823E-7</v>
      </c>
      <c r="R11" s="5" t="s">
        <v>23</v>
      </c>
      <c r="S11" s="19"/>
      <c r="Y11" s="10"/>
      <c r="Z11" s="12"/>
    </row>
    <row r="12" spans="3:26" ht="15.75" thickBot="1">
      <c r="C12" s="243" t="s">
        <v>12</v>
      </c>
      <c r="D12" s="244"/>
      <c r="E12" s="5">
        <f>1</f>
        <v>1</v>
      </c>
      <c r="F12" s="12" t="s">
        <v>17</v>
      </c>
      <c r="N12" s="228" t="s">
        <v>20</v>
      </c>
      <c r="O12" s="229"/>
      <c r="P12" s="229"/>
      <c r="Q12" s="51">
        <f>VLOOKUP(R3,$Y$22:$AC$27,5,0)</f>
        <v>1</v>
      </c>
      <c r="R12" s="5" t="s">
        <v>7</v>
      </c>
      <c r="S12" s="19"/>
      <c r="Y12" s="22" t="s">
        <v>120</v>
      </c>
      <c r="Z12" s="43" t="s">
        <v>170</v>
      </c>
    </row>
    <row r="13" spans="3:26">
      <c r="C13" s="243" t="s">
        <v>11</v>
      </c>
      <c r="D13" s="244"/>
      <c r="E13" s="24">
        <v>298</v>
      </c>
      <c r="F13" s="12" t="s">
        <v>18</v>
      </c>
      <c r="N13" s="228" t="s">
        <v>21</v>
      </c>
      <c r="O13" s="229"/>
      <c r="P13" s="229"/>
      <c r="Q13" s="5">
        <f>Q9*9.81</f>
        <v>9787.4370000000017</v>
      </c>
      <c r="R13" s="5" t="s">
        <v>94</v>
      </c>
      <c r="S13" s="19"/>
    </row>
    <row r="14" spans="3:26" ht="15.75" thickBot="1">
      <c r="C14" s="305" t="s">
        <v>10</v>
      </c>
      <c r="D14" s="306"/>
      <c r="E14" s="17">
        <f>0.045</f>
        <v>4.4999999999999998E-2</v>
      </c>
      <c r="F14" s="16" t="s">
        <v>99</v>
      </c>
      <c r="N14" s="261" t="s">
        <v>19</v>
      </c>
      <c r="O14" s="257"/>
      <c r="P14" s="257"/>
      <c r="Q14" s="52">
        <f>Q11*10^6</f>
        <v>0.89305402425578828</v>
      </c>
      <c r="R14" s="18" t="s">
        <v>100</v>
      </c>
      <c r="S14" s="20"/>
    </row>
    <row r="15" spans="3:26">
      <c r="C15" s="307" t="s">
        <v>101</v>
      </c>
      <c r="D15" s="307"/>
      <c r="E15" s="2"/>
      <c r="F15" s="27"/>
    </row>
    <row r="18" spans="3:29" ht="15.75" thickBot="1"/>
    <row r="19" spans="3:29" ht="15.75" customHeight="1">
      <c r="C19" s="308" t="s">
        <v>144</v>
      </c>
      <c r="D19" s="309"/>
      <c r="E19" s="310"/>
      <c r="I19" s="308" t="s">
        <v>146</v>
      </c>
      <c r="J19" s="309"/>
      <c r="K19" s="310"/>
      <c r="O19" s="308" t="s">
        <v>150</v>
      </c>
      <c r="P19" s="309"/>
      <c r="Q19" s="310"/>
      <c r="Y19" s="314" t="s">
        <v>103</v>
      </c>
      <c r="Z19" s="263"/>
      <c r="AA19" s="263"/>
      <c r="AB19" s="263"/>
      <c r="AC19" s="264"/>
    </row>
    <row r="20" spans="3:29" ht="15" customHeight="1">
      <c r="C20" s="311"/>
      <c r="D20" s="312"/>
      <c r="E20" s="313"/>
      <c r="I20" s="311"/>
      <c r="J20" s="312"/>
      <c r="K20" s="313"/>
      <c r="O20" s="311"/>
      <c r="P20" s="312"/>
      <c r="Q20" s="313"/>
      <c r="Y20" s="265"/>
      <c r="Z20" s="266"/>
      <c r="AA20" s="266"/>
      <c r="AB20" s="266"/>
      <c r="AC20" s="267"/>
    </row>
    <row r="21" spans="3:29" ht="18.75" customHeight="1" thickBot="1">
      <c r="C21" s="10" t="s">
        <v>8</v>
      </c>
      <c r="D21" s="67">
        <v>3.9669743174782619</v>
      </c>
      <c r="E21" s="49" t="s">
        <v>39</v>
      </c>
      <c r="I21" s="10" t="s">
        <v>147</v>
      </c>
      <c r="J21" s="28">
        <f>(3.1416*D22^2)/4</f>
        <v>7.9740479893778693E-3</v>
      </c>
      <c r="K21" s="49" t="s">
        <v>22</v>
      </c>
      <c r="O21" s="10" t="s">
        <v>151</v>
      </c>
      <c r="P21" s="5">
        <f xml:space="preserve"> 64/reno</f>
        <v>2.2821223623848324E-3</v>
      </c>
      <c r="Q21" s="12" t="s">
        <v>7</v>
      </c>
      <c r="Y21" s="29" t="s">
        <v>104</v>
      </c>
      <c r="Z21" s="315" t="s">
        <v>105</v>
      </c>
      <c r="AA21" s="315"/>
      <c r="AB21" s="30" t="s">
        <v>106</v>
      </c>
      <c r="AC21" s="31" t="s">
        <v>6</v>
      </c>
    </row>
    <row r="22" spans="3:29">
      <c r="C22" s="48" t="s">
        <v>145</v>
      </c>
      <c r="D22" s="28">
        <f>D21/39.37</f>
        <v>0.10076134918664623</v>
      </c>
      <c r="E22" s="49" t="s">
        <v>2</v>
      </c>
      <c r="I22" s="48" t="s">
        <v>148</v>
      </c>
      <c r="J22" s="28">
        <f>E9/J21</f>
        <v>0.24855631702244549</v>
      </c>
      <c r="K22" s="49" t="s">
        <v>9</v>
      </c>
      <c r="O22" s="10" t="s">
        <v>152</v>
      </c>
      <c r="P22" s="1">
        <f>1/(-1.8*LOG10((P23/3.7)^1.11+6.9/reno))^2</f>
        <v>2.467881849387598E-2</v>
      </c>
      <c r="Q22" s="12" t="s">
        <v>7</v>
      </c>
      <c r="Y22" s="32" t="s">
        <v>107</v>
      </c>
      <c r="Z22" s="316">
        <v>0.01</v>
      </c>
      <c r="AA22" s="316"/>
      <c r="AB22" s="54">
        <v>900</v>
      </c>
      <c r="AC22" s="39">
        <f>AB22/997.7</f>
        <v>0.90207477197554375</v>
      </c>
    </row>
    <row r="23" spans="3:29" ht="15.75" thickBot="1">
      <c r="C23" s="22" t="s">
        <v>154</v>
      </c>
      <c r="D23" s="18">
        <f>D22/0.001</f>
        <v>100.76134918664623</v>
      </c>
      <c r="E23" s="16" t="s">
        <v>99</v>
      </c>
      <c r="I23" s="22" t="s">
        <v>117</v>
      </c>
      <c r="J23" s="18">
        <f>Q9*J22*D22/Q10</f>
        <v>28044.070315808829</v>
      </c>
      <c r="K23" s="16" t="s">
        <v>7</v>
      </c>
      <c r="O23" s="22" t="s">
        <v>153</v>
      </c>
      <c r="P23" s="17">
        <f>E14/D23</f>
        <v>4.4659981593382425E-4</v>
      </c>
      <c r="Q23" s="16" t="s">
        <v>7</v>
      </c>
      <c r="Y23" s="10" t="s">
        <v>112</v>
      </c>
      <c r="Z23" s="244">
        <v>2.5000000000000001E-3</v>
      </c>
      <c r="AA23" s="244"/>
      <c r="AB23" s="5">
        <v>850</v>
      </c>
      <c r="AC23" s="56">
        <f t="shared" ref="AC23:AC27" si="0">AB23/997.7</f>
        <v>0.85195950686579125</v>
      </c>
    </row>
    <row r="24" spans="3:29">
      <c r="Y24" s="10" t="s">
        <v>108</v>
      </c>
      <c r="Z24" s="244">
        <v>5.9999999999999995E-4</v>
      </c>
      <c r="AA24" s="244"/>
      <c r="AB24" s="5">
        <v>750</v>
      </c>
      <c r="AC24" s="56">
        <f t="shared" si="0"/>
        <v>0.75172897664628646</v>
      </c>
    </row>
    <row r="25" spans="3:29">
      <c r="Y25" s="10" t="s">
        <v>111</v>
      </c>
      <c r="Z25" s="244">
        <v>3.5000000000000001E-3</v>
      </c>
      <c r="AA25" s="244"/>
      <c r="AB25" s="5">
        <v>930</v>
      </c>
      <c r="AC25" s="56">
        <f t="shared" si="0"/>
        <v>0.93214393104139515</v>
      </c>
    </row>
    <row r="26" spans="3:29" ht="15.75" thickBot="1">
      <c r="Y26" s="10" t="s">
        <v>109</v>
      </c>
      <c r="Z26" s="244">
        <v>4.2999999999999999E-4</v>
      </c>
      <c r="AA26" s="244"/>
      <c r="AB26" s="5">
        <v>790</v>
      </c>
      <c r="AC26" s="56">
        <f t="shared" si="0"/>
        <v>0.79182118873408835</v>
      </c>
    </row>
    <row r="27" spans="3:29" ht="15.75" thickBot="1">
      <c r="C27" s="308" t="s">
        <v>155</v>
      </c>
      <c r="D27" s="309"/>
      <c r="E27" s="310"/>
      <c r="I27" s="325" t="s">
        <v>160</v>
      </c>
      <c r="J27" s="326"/>
      <c r="K27" s="327"/>
      <c r="O27" s="325" t="s">
        <v>164</v>
      </c>
      <c r="P27" s="326"/>
      <c r="Q27" s="327"/>
      <c r="Y27" s="22" t="s">
        <v>180</v>
      </c>
      <c r="Z27" s="303">
        <v>8.9099999999999997E-4</v>
      </c>
      <c r="AA27" s="304"/>
      <c r="AB27" s="18">
        <v>997.7</v>
      </c>
      <c r="AC27" s="57">
        <f t="shared" si="0"/>
        <v>1</v>
      </c>
    </row>
    <row r="28" spans="3:29">
      <c r="C28" s="311"/>
      <c r="D28" s="312"/>
      <c r="E28" s="313"/>
      <c r="I28" s="328"/>
      <c r="J28" s="329"/>
      <c r="K28" s="330"/>
      <c r="O28" s="328"/>
      <c r="P28" s="329"/>
      <c r="Q28" s="330"/>
    </row>
    <row r="29" spans="3:29">
      <c r="C29" s="48" t="s">
        <v>13</v>
      </c>
      <c r="D29" s="24">
        <v>9.81</v>
      </c>
      <c r="E29" s="49" t="s">
        <v>156</v>
      </c>
      <c r="I29" s="10" t="s">
        <v>157</v>
      </c>
      <c r="J29" s="5">
        <f xml:space="preserve"> inhinput</f>
        <v>22</v>
      </c>
      <c r="K29" s="12" t="s">
        <v>2</v>
      </c>
      <c r="O29" s="10" t="s">
        <v>165</v>
      </c>
      <c r="P29" s="5">
        <f>J34</f>
        <v>322.98225070798327</v>
      </c>
      <c r="Q29" s="12" t="s">
        <v>149</v>
      </c>
    </row>
    <row r="30" spans="3:29" ht="15.75" thickBot="1">
      <c r="C30" s="47" t="s">
        <v>14</v>
      </c>
      <c r="D30" s="53">
        <f>((IF(J23&lt;2000,P21,P22))*ABS(E10)*J22^2)/(D22*2*D29)</f>
        <v>3.239144238442697E-4</v>
      </c>
      <c r="E30" s="50" t="s">
        <v>15</v>
      </c>
      <c r="I30" s="10" t="s">
        <v>158</v>
      </c>
      <c r="J30" s="5">
        <f>fhinput</f>
        <v>55</v>
      </c>
      <c r="K30" s="12" t="s">
        <v>2</v>
      </c>
      <c r="O30" s="10" t="s">
        <v>166</v>
      </c>
      <c r="P30" s="5">
        <f>E11*101.325</f>
        <v>295.86900000000003</v>
      </c>
      <c r="Q30" s="12" t="s">
        <v>149</v>
      </c>
    </row>
    <row r="31" spans="3:29" ht="15.75" thickBot="1">
      <c r="I31" s="10" t="s">
        <v>159</v>
      </c>
      <c r="J31" s="5">
        <f>ABS(J29-J30)</f>
        <v>33</v>
      </c>
      <c r="K31" s="12" t="s">
        <v>2</v>
      </c>
      <c r="O31" s="22" t="s">
        <v>167</v>
      </c>
      <c r="P31" s="18">
        <f>P30-P29</f>
        <v>-27.113250707983241</v>
      </c>
      <c r="Q31" s="16" t="s">
        <v>149</v>
      </c>
    </row>
    <row r="32" spans="3:29">
      <c r="I32" s="10" t="s">
        <v>16</v>
      </c>
      <c r="J32" s="5">
        <v>0</v>
      </c>
      <c r="K32" s="12" t="s">
        <v>9</v>
      </c>
    </row>
    <row r="33" spans="3:11" ht="15.75" thickBot="1">
      <c r="I33" s="10" t="s">
        <v>161</v>
      </c>
      <c r="J33" s="5">
        <f xml:space="preserve"> ABS(D30-J31 ) * ( Q9 * D29 )</f>
        <v>322982.25070798327</v>
      </c>
      <c r="K33" s="12" t="s">
        <v>162</v>
      </c>
    </row>
    <row r="34" spans="3:11" ht="15.75" customHeight="1" thickBot="1">
      <c r="C34" s="325" t="s">
        <v>96</v>
      </c>
      <c r="D34" s="268"/>
      <c r="E34" s="268"/>
      <c r="F34" s="268"/>
      <c r="G34" s="269"/>
      <c r="I34" s="22" t="s">
        <v>163</v>
      </c>
      <c r="J34" s="18">
        <f>J33/1000</f>
        <v>322.98225070798327</v>
      </c>
      <c r="K34" s="16" t="s">
        <v>149</v>
      </c>
    </row>
    <row r="35" spans="3:11">
      <c r="C35" s="270"/>
      <c r="D35" s="271"/>
      <c r="E35" s="271"/>
      <c r="F35" s="271"/>
      <c r="G35" s="272"/>
    </row>
    <row r="36" spans="3:11">
      <c r="C36" s="243" t="s">
        <v>95</v>
      </c>
      <c r="D36" s="244"/>
      <c r="E36" s="244"/>
      <c r="F36" s="25">
        <f>E11+E12</f>
        <v>3.92</v>
      </c>
      <c r="G36" s="12" t="s">
        <v>17</v>
      </c>
    </row>
    <row r="37" spans="3:11" ht="15.75" thickBot="1">
      <c r="C37" s="261" t="s">
        <v>97</v>
      </c>
      <c r="D37" s="257"/>
      <c r="E37" s="257"/>
      <c r="F37" s="26">
        <f>ABS(D21)</f>
        <v>3.9669743174782619</v>
      </c>
      <c r="G37" s="16" t="s">
        <v>39</v>
      </c>
    </row>
    <row r="42" spans="3:11" ht="15.75" thickBot="1"/>
    <row r="43" spans="3:11">
      <c r="I43" s="319" t="s">
        <v>586</v>
      </c>
      <c r="J43" s="320"/>
      <c r="K43" s="321"/>
    </row>
    <row r="44" spans="3:11">
      <c r="I44" s="322"/>
      <c r="J44" s="323"/>
      <c r="K44" s="324"/>
    </row>
    <row r="45" spans="3:11">
      <c r="I45" s="176"/>
      <c r="J45" s="68"/>
      <c r="K45" s="177"/>
    </row>
    <row r="46" spans="3:11">
      <c r="I46" s="48" t="s">
        <v>624</v>
      </c>
      <c r="J46" s="28">
        <f>sdia-(2*sthic)</f>
        <v>549.44000000000005</v>
      </c>
      <c r="K46" s="49" t="s">
        <v>99</v>
      </c>
    </row>
    <row r="47" spans="3:11">
      <c r="I47" s="48" t="s">
        <v>613</v>
      </c>
      <c r="J47" s="28">
        <f>J46/1000</f>
        <v>0.54944000000000004</v>
      </c>
      <c r="K47" s="49" t="s">
        <v>2</v>
      </c>
    </row>
    <row r="48" spans="3:11">
      <c r="I48" s="48"/>
      <c r="J48" s="28"/>
      <c r="K48" s="49"/>
    </row>
    <row r="49" spans="9:11">
      <c r="I49" s="48" t="s">
        <v>565</v>
      </c>
      <c r="J49" s="28">
        <f>(3.1416*J47^2)/4</f>
        <v>0.23709993990144004</v>
      </c>
      <c r="K49" s="49" t="s">
        <v>2</v>
      </c>
    </row>
    <row r="50" spans="9:11">
      <c r="I50" s="48" t="s">
        <v>615</v>
      </c>
      <c r="J50" s="28">
        <f>flwo/J49</f>
        <v>8.3593441686400111E-3</v>
      </c>
      <c r="K50" s="49" t="s">
        <v>9</v>
      </c>
    </row>
    <row r="51" spans="9:11">
      <c r="I51" s="48" t="s">
        <v>117</v>
      </c>
      <c r="J51" s="28">
        <f>$Q$9*J50*J47/$Q$10</f>
        <v>5142.9789635011539</v>
      </c>
      <c r="K51" s="49" t="s">
        <v>7</v>
      </c>
    </row>
    <row r="52" spans="9:11">
      <c r="I52" s="176"/>
      <c r="J52" s="68"/>
      <c r="K52" s="177"/>
    </row>
    <row r="53" spans="9:11">
      <c r="I53" s="178" t="s">
        <v>616</v>
      </c>
      <c r="J53" s="68"/>
      <c r="K53" s="177"/>
    </row>
    <row r="54" spans="9:11">
      <c r="I54" s="176"/>
      <c r="J54" s="68"/>
      <c r="K54" s="177"/>
    </row>
    <row r="55" spans="9:11">
      <c r="I55" s="48" t="s">
        <v>617</v>
      </c>
      <c r="J55" s="28">
        <f>64/J51</f>
        <v>1.2444149675547403E-2</v>
      </c>
      <c r="K55" s="49"/>
    </row>
    <row r="56" spans="9:11">
      <c r="I56" s="48" t="s">
        <v>618</v>
      </c>
      <c r="J56" s="28">
        <f>1/(-1.8*LOG10((J57/3.7)^1.11+6.9/J51))^2</f>
        <v>3.7466279556471402E-2</v>
      </c>
      <c r="K56" s="49"/>
    </row>
    <row r="57" spans="9:11">
      <c r="I57" s="48" t="s">
        <v>153</v>
      </c>
      <c r="J57" s="28">
        <f>piperno/J46</f>
        <v>8.1901572510192182E-5</v>
      </c>
      <c r="K57" s="49"/>
    </row>
    <row r="58" spans="9:11">
      <c r="I58" s="176"/>
      <c r="J58" s="68"/>
      <c r="K58" s="177"/>
    </row>
    <row r="59" spans="9:11">
      <c r="I59" s="178" t="s">
        <v>619</v>
      </c>
      <c r="J59" s="68"/>
      <c r="K59" s="177"/>
    </row>
    <row r="60" spans="9:11">
      <c r="I60" s="176"/>
      <c r="J60" s="68"/>
      <c r="K60" s="177"/>
    </row>
    <row r="61" spans="9:11">
      <c r="I61" s="48" t="s">
        <v>620</v>
      </c>
      <c r="J61" s="28">
        <f>((IF(J51&lt;2000,J55,J56))*ABS(E10)*J50^2)/(J47*2*D29)</f>
        <v>1.0200348166075518E-7</v>
      </c>
      <c r="K61" s="49" t="s">
        <v>2</v>
      </c>
    </row>
    <row r="62" spans="9:11">
      <c r="I62" s="176"/>
      <c r="J62" s="68"/>
      <c r="K62" s="177"/>
    </row>
    <row r="63" spans="9:11">
      <c r="I63" s="178" t="s">
        <v>614</v>
      </c>
      <c r="J63" s="68"/>
      <c r="K63" s="177"/>
    </row>
    <row r="64" spans="9:11">
      <c r="I64" s="176"/>
      <c r="J64" s="68"/>
      <c r="K64" s="177"/>
    </row>
    <row r="65" spans="9:11">
      <c r="I65" s="48" t="s">
        <v>621</v>
      </c>
      <c r="J65" s="28">
        <f xml:space="preserve"> ABS(J61-J31 ) * ( Q9 * D29 )</f>
        <v>322985.42000164738</v>
      </c>
      <c r="K65" s="49" t="s">
        <v>162</v>
      </c>
    </row>
    <row r="66" spans="9:11">
      <c r="I66" s="48" t="s">
        <v>621</v>
      </c>
      <c r="J66" s="28">
        <f>J65/1000</f>
        <v>322.98542000164736</v>
      </c>
      <c r="K66" s="49" t="s">
        <v>622</v>
      </c>
    </row>
    <row r="67" spans="9:11">
      <c r="I67" s="48" t="s">
        <v>621</v>
      </c>
      <c r="J67" s="28">
        <f>J66/101.325</f>
        <v>3.1876182580966921</v>
      </c>
      <c r="K67" s="49" t="s">
        <v>17</v>
      </c>
    </row>
    <row r="68" spans="9:11">
      <c r="I68" s="176"/>
      <c r="J68" s="68"/>
      <c r="K68" s="177"/>
    </row>
    <row r="69" spans="9:11">
      <c r="I69" s="178" t="s">
        <v>586</v>
      </c>
      <c r="J69" s="68"/>
      <c r="K69" s="177"/>
    </row>
    <row r="70" spans="9:11">
      <c r="I70" s="176"/>
      <c r="J70" s="68"/>
      <c r="K70" s="177"/>
    </row>
    <row r="71" spans="9:11" ht="15.75" thickBot="1">
      <c r="I71" s="47" t="s">
        <v>623</v>
      </c>
      <c r="J71" s="179">
        <f xml:space="preserve"> J67+E12</f>
        <v>4.1876182580966921</v>
      </c>
      <c r="K71" s="50" t="s">
        <v>17</v>
      </c>
    </row>
  </sheetData>
  <mergeCells count="36">
    <mergeCell ref="I43:K44"/>
    <mergeCell ref="C7:F8"/>
    <mergeCell ref="N7:S8"/>
    <mergeCell ref="O27:Q28"/>
    <mergeCell ref="C11:D11"/>
    <mergeCell ref="N11:P11"/>
    <mergeCell ref="C12:D12"/>
    <mergeCell ref="N12:P12"/>
    <mergeCell ref="C13:D13"/>
    <mergeCell ref="N13:P13"/>
    <mergeCell ref="C34:G35"/>
    <mergeCell ref="C36:E36"/>
    <mergeCell ref="C37:E37"/>
    <mergeCell ref="C27:E28"/>
    <mergeCell ref="I27:K28"/>
    <mergeCell ref="Z22:AA22"/>
    <mergeCell ref="Z23:AA23"/>
    <mergeCell ref="Z24:AA24"/>
    <mergeCell ref="P3:Q4"/>
    <mergeCell ref="R3:R4"/>
    <mergeCell ref="Z27:AA27"/>
    <mergeCell ref="Y6:Z7"/>
    <mergeCell ref="C9:D9"/>
    <mergeCell ref="N9:P9"/>
    <mergeCell ref="C10:D10"/>
    <mergeCell ref="N10:P10"/>
    <mergeCell ref="Z25:AA25"/>
    <mergeCell ref="Z26:AA26"/>
    <mergeCell ref="C14:D14"/>
    <mergeCell ref="N14:P14"/>
    <mergeCell ref="C15:D15"/>
    <mergeCell ref="C19:E20"/>
    <mergeCell ref="I19:K20"/>
    <mergeCell ref="O19:Q20"/>
    <mergeCell ref="Y19:AC20"/>
    <mergeCell ref="Z21:AA21"/>
  </mergeCells>
  <dataValidations count="1">
    <dataValidation type="list" allowBlank="1" showInputMessage="1" showErrorMessage="1" sqref="R3:R4" xr:uid="{00000000-0002-0000-0300-000000000000}">
      <formula1>$Y$22:$Y$27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C4:O22"/>
  <sheetViews>
    <sheetView topLeftCell="A6" workbookViewId="0">
      <selection activeCell="N12" sqref="N12"/>
    </sheetView>
  </sheetViews>
  <sheetFormatPr defaultRowHeight="15"/>
  <cols>
    <col min="7" max="7" width="21.140625" customWidth="1"/>
    <col min="8" max="8" width="14.5703125" customWidth="1"/>
    <col min="13" max="13" width="26.28515625" customWidth="1"/>
    <col min="14" max="14" width="15.42578125" customWidth="1"/>
  </cols>
  <sheetData>
    <row r="4" spans="3:15" ht="15" customHeight="1">
      <c r="G4" s="332" t="s">
        <v>179</v>
      </c>
      <c r="H4" s="332"/>
      <c r="I4" s="332"/>
      <c r="J4" s="332"/>
    </row>
    <row r="5" spans="3:15" ht="15" customHeight="1">
      <c r="G5" s="332"/>
      <c r="H5" s="332"/>
      <c r="I5" s="332"/>
      <c r="J5" s="332"/>
    </row>
    <row r="6" spans="3:15">
      <c r="C6" t="s">
        <v>189</v>
      </c>
      <c r="G6" s="55" t="s">
        <v>175</v>
      </c>
      <c r="H6" s="55" t="s">
        <v>176</v>
      </c>
      <c r="I6" s="331" t="s">
        <v>177</v>
      </c>
      <c r="J6" s="331"/>
    </row>
    <row r="7" spans="3:15">
      <c r="G7" s="27" t="s">
        <v>189</v>
      </c>
      <c r="H7" s="27">
        <f>doout</f>
        <v>3.9669743174782619</v>
      </c>
      <c r="I7" s="275" t="s">
        <v>39</v>
      </c>
      <c r="J7" s="275"/>
    </row>
    <row r="8" spans="3:15">
      <c r="G8" s="27" t="s">
        <v>178</v>
      </c>
      <c r="H8" s="27">
        <f>dgout</f>
        <v>21.709825545800854</v>
      </c>
      <c r="I8" s="279" t="s">
        <v>39</v>
      </c>
      <c r="J8" s="279"/>
    </row>
    <row r="10" spans="3:15">
      <c r="M10" s="185" t="s">
        <v>591</v>
      </c>
      <c r="N10" s="185" t="str">
        <f>fluidtypin</f>
        <v>Gas</v>
      </c>
    </row>
    <row r="11" spans="3:15">
      <c r="G11" s="332" t="s">
        <v>589</v>
      </c>
      <c r="H11" s="332"/>
      <c r="I11" s="332"/>
      <c r="J11" s="332"/>
      <c r="M11" s="68" t="s">
        <v>590</v>
      </c>
      <c r="N11" s="68">
        <f>VLOOKUP(N10,G14:J15,2,FALSE)</f>
        <v>30</v>
      </c>
      <c r="O11" s="68" t="s">
        <v>173</v>
      </c>
    </row>
    <row r="12" spans="3:15">
      <c r="G12" s="332"/>
      <c r="H12" s="332"/>
      <c r="I12" s="332"/>
      <c r="J12" s="332"/>
      <c r="M12" s="68" t="s">
        <v>636</v>
      </c>
      <c r="N12" s="68">
        <f>VLOOKUP(N10,G21:J22,2,FALSE)</f>
        <v>1.0000000074397142</v>
      </c>
      <c r="O12" s="68" t="s">
        <v>17</v>
      </c>
    </row>
    <row r="13" spans="3:15">
      <c r="G13" s="55" t="s">
        <v>175</v>
      </c>
      <c r="H13" s="55" t="s">
        <v>172</v>
      </c>
      <c r="I13" s="331" t="s">
        <v>177</v>
      </c>
      <c r="J13" s="331"/>
    </row>
    <row r="14" spans="3:15">
      <c r="G14" s="27" t="s">
        <v>189</v>
      </c>
      <c r="H14" s="27">
        <f>fllin</f>
        <v>1.9819999999999998E-3</v>
      </c>
      <c r="I14" s="275" t="s">
        <v>173</v>
      </c>
      <c r="J14" s="275"/>
    </row>
    <row r="15" spans="3:15">
      <c r="G15" s="27" t="s">
        <v>178</v>
      </c>
      <c r="H15" s="27">
        <f>fgin</f>
        <v>30</v>
      </c>
      <c r="I15" s="279" t="s">
        <v>173</v>
      </c>
      <c r="J15" s="279"/>
    </row>
    <row r="16" spans="3:15">
      <c r="G16" s="68"/>
      <c r="H16" s="68"/>
      <c r="I16" s="275"/>
      <c r="J16" s="275"/>
    </row>
    <row r="18" spans="7:10">
      <c r="G18" s="332" t="s">
        <v>187</v>
      </c>
      <c r="H18" s="332"/>
      <c r="I18" s="332"/>
      <c r="J18" s="332"/>
    </row>
    <row r="19" spans="7:10">
      <c r="G19" s="332"/>
      <c r="H19" s="332"/>
      <c r="I19" s="332"/>
      <c r="J19" s="332"/>
    </row>
    <row r="20" spans="7:10">
      <c r="G20" s="55" t="s">
        <v>175</v>
      </c>
      <c r="H20" s="55" t="s">
        <v>172</v>
      </c>
      <c r="I20" s="331" t="s">
        <v>177</v>
      </c>
      <c r="J20" s="331"/>
    </row>
    <row r="21" spans="7:10">
      <c r="G21" s="27" t="s">
        <v>189</v>
      </c>
      <c r="H21" s="27">
        <f>maxlop</f>
        <v>4.1876182580966921</v>
      </c>
      <c r="I21" s="275" t="s">
        <v>17</v>
      </c>
      <c r="J21" s="275"/>
    </row>
    <row r="22" spans="7:10">
      <c r="G22" s="27" t="s">
        <v>178</v>
      </c>
      <c r="H22" s="27">
        <f>maxgop</f>
        <v>1.0000000074397142</v>
      </c>
      <c r="I22" s="279" t="s">
        <v>17</v>
      </c>
      <c r="J22" s="279"/>
    </row>
  </sheetData>
  <mergeCells count="13">
    <mergeCell ref="G18:J19"/>
    <mergeCell ref="I20:J20"/>
    <mergeCell ref="I21:J21"/>
    <mergeCell ref="I22:J22"/>
    <mergeCell ref="I14:J14"/>
    <mergeCell ref="I15:J15"/>
    <mergeCell ref="I16:J16"/>
    <mergeCell ref="I13:J13"/>
    <mergeCell ref="I7:J7"/>
    <mergeCell ref="G4:J5"/>
    <mergeCell ref="I6:J6"/>
    <mergeCell ref="I8:J8"/>
    <mergeCell ref="G11:J12"/>
  </mergeCells>
  <dataValidations count="1">
    <dataValidation type="list" allowBlank="1" showInputMessage="1" showErrorMessage="1" sqref="N10" xr:uid="{00000000-0002-0000-0400-000000000000}">
      <formula1>$G$14:$G$15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52"/>
  <sheetViews>
    <sheetView zoomScale="87" zoomScaleNormal="87" workbookViewId="0">
      <selection activeCell="C19" sqref="C19"/>
    </sheetView>
  </sheetViews>
  <sheetFormatPr defaultColWidth="8.85546875" defaultRowHeight="15"/>
  <cols>
    <col min="1" max="1" width="10.5703125" style="68" customWidth="1"/>
    <col min="2" max="2" width="32.42578125" style="68" customWidth="1"/>
    <col min="3" max="3" width="22.28515625" style="68" customWidth="1"/>
    <col min="4" max="4" width="16.85546875" style="68" customWidth="1"/>
    <col min="5" max="5" width="8.85546875" style="68"/>
    <col min="6" max="6" width="11.7109375" style="68" customWidth="1"/>
    <col min="7" max="7" width="22.140625" style="68" customWidth="1"/>
    <col min="8" max="8" width="21.5703125" style="68" customWidth="1"/>
    <col min="9" max="9" width="25.7109375" style="68" bestFit="1" customWidth="1"/>
    <col min="10" max="13" width="8.85546875" style="68"/>
    <col min="14" max="14" width="10" style="68" bestFit="1" customWidth="1"/>
    <col min="15" max="16384" width="8.85546875" style="68"/>
  </cols>
  <sheetData>
    <row r="1" spans="1:13" ht="15.75" thickBot="1"/>
    <row r="2" spans="1:13">
      <c r="B2" s="334" t="s">
        <v>219</v>
      </c>
      <c r="C2" s="335"/>
      <c r="D2" s="336"/>
    </row>
    <row r="3" spans="1:13" ht="15.75" thickBot="1">
      <c r="B3" s="337"/>
      <c r="C3" s="338"/>
      <c r="D3" s="339"/>
      <c r="G3" s="28"/>
      <c r="H3" s="88" t="s">
        <v>220</v>
      </c>
      <c r="I3" s="28"/>
    </row>
    <row r="4" spans="1:13">
      <c r="C4" s="89"/>
      <c r="G4" s="28"/>
      <c r="H4" s="28"/>
      <c r="I4" s="5"/>
    </row>
    <row r="5" spans="1:13">
      <c r="B5" s="90" t="s">
        <v>221</v>
      </c>
      <c r="C5" s="90" t="s">
        <v>222</v>
      </c>
      <c r="D5" s="90" t="s">
        <v>223</v>
      </c>
      <c r="G5" s="91" t="s">
        <v>224</v>
      </c>
      <c r="H5" s="28" t="str">
        <f>pgin</f>
        <v>API 5L Grade X52</v>
      </c>
      <c r="I5" s="28">
        <f>VLOOKUP(H5,B6:C8,2,FALSE)</f>
        <v>358</v>
      </c>
    </row>
    <row r="6" spans="1:13">
      <c r="A6" s="92">
        <v>1</v>
      </c>
      <c r="B6" s="28" t="s">
        <v>226</v>
      </c>
      <c r="C6" s="28">
        <v>358</v>
      </c>
      <c r="D6" s="28">
        <v>228</v>
      </c>
      <c r="G6" s="28"/>
      <c r="H6" s="28"/>
      <c r="I6" s="28"/>
    </row>
    <row r="7" spans="1:13">
      <c r="A7" s="92">
        <v>2</v>
      </c>
      <c r="B7" s="28" t="s">
        <v>227</v>
      </c>
      <c r="C7" s="28">
        <v>386</v>
      </c>
      <c r="D7" s="28">
        <v>278</v>
      </c>
      <c r="G7" s="93" t="s">
        <v>228</v>
      </c>
      <c r="H7" s="93" t="s">
        <v>229</v>
      </c>
      <c r="I7" s="93" t="s">
        <v>230</v>
      </c>
    </row>
    <row r="8" spans="1:13">
      <c r="A8" s="92">
        <v>3</v>
      </c>
      <c r="B8" s="28" t="s">
        <v>225</v>
      </c>
      <c r="C8" s="28">
        <v>317</v>
      </c>
      <c r="D8" s="28">
        <v>258</v>
      </c>
      <c r="G8" s="28"/>
      <c r="H8" s="28"/>
      <c r="I8" s="28"/>
    </row>
    <row r="9" spans="1:13">
      <c r="B9" s="28"/>
      <c r="C9" s="28"/>
      <c r="D9" s="28"/>
      <c r="G9" s="93" t="s">
        <v>231</v>
      </c>
      <c r="H9" s="94">
        <f>C17*C18/(2*C13*C15*C16*C19)</f>
        <v>0.42486133646629831</v>
      </c>
      <c r="I9" s="5" t="s">
        <v>99</v>
      </c>
      <c r="J9" s="92"/>
    </row>
    <row r="10" spans="1:13">
      <c r="B10" s="90" t="s">
        <v>232</v>
      </c>
      <c r="C10" s="28" t="s">
        <v>233</v>
      </c>
      <c r="D10" s="28"/>
      <c r="J10" s="92"/>
    </row>
    <row r="11" spans="1:13">
      <c r="B11" s="28"/>
      <c r="C11" s="28"/>
      <c r="D11" s="28"/>
    </row>
    <row r="12" spans="1:13">
      <c r="B12" s="95" t="s">
        <v>234</v>
      </c>
      <c r="C12" s="28"/>
      <c r="D12" s="88" t="s">
        <v>235</v>
      </c>
      <c r="F12" s="211" t="s">
        <v>236</v>
      </c>
      <c r="G12" s="211"/>
      <c r="H12" s="96" t="str">
        <f>upt</f>
        <v>4.78</v>
      </c>
      <c r="I12" s="96" t="s">
        <v>99</v>
      </c>
    </row>
    <row r="13" spans="1:13">
      <c r="B13" s="91" t="s">
        <v>548</v>
      </c>
      <c r="C13" s="28">
        <f>C14*1000</f>
        <v>358000</v>
      </c>
      <c r="D13" s="5" t="s">
        <v>249</v>
      </c>
      <c r="F13" s="211" t="s">
        <v>237</v>
      </c>
      <c r="G13" s="211"/>
      <c r="H13" s="96">
        <f>upd</f>
        <v>559</v>
      </c>
      <c r="I13" s="96" t="s">
        <v>99</v>
      </c>
    </row>
    <row r="14" spans="1:13">
      <c r="B14" s="91" t="s">
        <v>238</v>
      </c>
      <c r="C14" s="28">
        <f>I5</f>
        <v>358</v>
      </c>
      <c r="D14" s="28" t="s">
        <v>239</v>
      </c>
      <c r="F14" s="211" t="s">
        <v>240</v>
      </c>
      <c r="G14" s="211"/>
      <c r="H14" s="96" t="str">
        <f>updn</f>
        <v>22(550)</v>
      </c>
      <c r="I14" s="96" t="s">
        <v>7</v>
      </c>
      <c r="M14" s="97"/>
    </row>
    <row r="15" spans="1:13">
      <c r="B15" s="91" t="s">
        <v>241</v>
      </c>
      <c r="C15" s="28">
        <v>1</v>
      </c>
      <c r="D15" s="28"/>
      <c r="F15" s="211" t="s">
        <v>242</v>
      </c>
      <c r="G15" s="211"/>
      <c r="H15" s="96" t="str">
        <f>upsn</f>
        <v>…</v>
      </c>
      <c r="I15" s="96" t="str">
        <f>[2]Sheet1!Q16</f>
        <v>Standard Commercial</v>
      </c>
    </row>
    <row r="16" spans="1:13">
      <c r="B16" s="91" t="s">
        <v>243</v>
      </c>
      <c r="C16" s="28">
        <v>0.72</v>
      </c>
      <c r="D16" s="28"/>
      <c r="F16" s="211" t="s">
        <v>612</v>
      </c>
      <c r="G16" s="211"/>
      <c r="H16" s="98">
        <f>H9+3</f>
        <v>3.4248613364662983</v>
      </c>
      <c r="I16" s="99" t="s">
        <v>99</v>
      </c>
    </row>
    <row r="17" spans="2:9">
      <c r="B17" s="91" t="s">
        <v>245</v>
      </c>
      <c r="C17" s="28">
        <f>diamc</f>
        <v>551.42956886334161</v>
      </c>
      <c r="D17" s="28" t="s">
        <v>99</v>
      </c>
      <c r="F17" s="211" t="s">
        <v>246</v>
      </c>
      <c r="G17" s="211"/>
      <c r="H17" s="98">
        <f>upw</f>
        <v>65.33</v>
      </c>
      <c r="I17" s="99" t="s">
        <v>550</v>
      </c>
    </row>
    <row r="18" spans="2:9">
      <c r="B18" s="91" t="s">
        <v>248</v>
      </c>
      <c r="C18" s="28">
        <f>optpmc</f>
        <v>397.19400000000002</v>
      </c>
      <c r="D18" s="28" t="s">
        <v>249</v>
      </c>
    </row>
    <row r="19" spans="2:9">
      <c r="B19" s="91" t="s">
        <v>250</v>
      </c>
      <c r="C19" s="28">
        <v>1</v>
      </c>
      <c r="D19" s="28"/>
    </row>
    <row r="20" spans="2:9">
      <c r="B20" s="91" t="s">
        <v>251</v>
      </c>
      <c r="C20" s="28">
        <v>3</v>
      </c>
      <c r="D20" s="28" t="s">
        <v>99</v>
      </c>
    </row>
    <row r="21" spans="2:9">
      <c r="B21" s="28"/>
      <c r="C21" s="28"/>
      <c r="D21" s="28"/>
    </row>
    <row r="22" spans="2:9">
      <c r="B22" s="333" t="s">
        <v>252</v>
      </c>
      <c r="C22" s="333"/>
      <c r="D22" s="5"/>
    </row>
    <row r="23" spans="2:9">
      <c r="B23" s="333"/>
      <c r="C23" s="333"/>
      <c r="D23" s="28"/>
    </row>
    <row r="24" spans="2:9">
      <c r="B24" s="28"/>
      <c r="C24" s="28"/>
      <c r="D24" s="28"/>
    </row>
    <row r="25" spans="2:9">
      <c r="B25" s="90" t="s">
        <v>253</v>
      </c>
      <c r="C25" s="90" t="s">
        <v>243</v>
      </c>
      <c r="D25" s="28"/>
    </row>
    <row r="26" spans="2:9">
      <c r="B26" s="28" t="s">
        <v>254</v>
      </c>
      <c r="C26" s="28">
        <v>0.8</v>
      </c>
      <c r="D26" s="28"/>
    </row>
    <row r="27" spans="2:9">
      <c r="B27" s="28" t="s">
        <v>255</v>
      </c>
      <c r="C27" s="28">
        <v>0.72</v>
      </c>
      <c r="D27" s="28"/>
    </row>
    <row r="28" spans="2:9">
      <c r="B28" s="28" t="s">
        <v>256</v>
      </c>
      <c r="C28" s="28">
        <v>0.6</v>
      </c>
      <c r="D28" s="28"/>
    </row>
    <row r="29" spans="2:9">
      <c r="B29" s="28" t="s">
        <v>257</v>
      </c>
      <c r="C29" s="28">
        <v>0.5</v>
      </c>
      <c r="D29" s="91"/>
    </row>
    <row r="30" spans="2:9">
      <c r="B30" s="28" t="s">
        <v>258</v>
      </c>
      <c r="C30" s="28">
        <v>0.4</v>
      </c>
      <c r="D30" s="28"/>
    </row>
    <row r="31" spans="2:9">
      <c r="B31" s="28"/>
      <c r="C31" s="28"/>
      <c r="D31" s="28"/>
    </row>
    <row r="32" spans="2:9">
      <c r="B32" s="28"/>
      <c r="C32" s="28"/>
      <c r="D32" s="28"/>
    </row>
    <row r="33" spans="2:4">
      <c r="B33" s="90" t="s">
        <v>259</v>
      </c>
      <c r="C33" s="90" t="s">
        <v>250</v>
      </c>
      <c r="D33" s="28"/>
    </row>
    <row r="34" spans="2:4">
      <c r="B34" s="28"/>
      <c r="C34" s="28"/>
      <c r="D34" s="28"/>
    </row>
    <row r="35" spans="2:4">
      <c r="B35" s="28" t="s">
        <v>260</v>
      </c>
      <c r="C35" s="5">
        <v>1</v>
      </c>
      <c r="D35" s="28"/>
    </row>
    <row r="36" spans="2:4">
      <c r="B36" s="28" t="s">
        <v>261</v>
      </c>
      <c r="C36" s="28">
        <v>1</v>
      </c>
      <c r="D36" s="28"/>
    </row>
    <row r="37" spans="2:4">
      <c r="B37" s="28"/>
      <c r="C37" s="28"/>
      <c r="D37" s="28"/>
    </row>
    <row r="38" spans="2:4">
      <c r="B38" s="90" t="s">
        <v>262</v>
      </c>
      <c r="C38" s="28"/>
      <c r="D38" s="28"/>
    </row>
    <row r="39" spans="2:4">
      <c r="B39" s="28"/>
      <c r="C39" s="28"/>
      <c r="D39" s="28"/>
    </row>
    <row r="40" spans="2:4">
      <c r="B40" s="28"/>
      <c r="C40" s="28"/>
      <c r="D40" s="28"/>
    </row>
    <row r="41" spans="2:4">
      <c r="B41" s="28"/>
      <c r="C41" s="28"/>
      <c r="D41" s="28"/>
    </row>
    <row r="42" spans="2:4">
      <c r="B42" s="28"/>
      <c r="C42" s="28"/>
      <c r="D42" s="28"/>
    </row>
    <row r="43" spans="2:4">
      <c r="B43" s="28"/>
      <c r="C43" s="28"/>
      <c r="D43" s="28"/>
    </row>
    <row r="44" spans="2:4">
      <c r="B44" s="28"/>
      <c r="C44" s="28"/>
      <c r="D44" s="28"/>
    </row>
    <row r="45" spans="2:4">
      <c r="B45" s="28"/>
      <c r="C45" s="28"/>
      <c r="D45" s="28"/>
    </row>
    <row r="46" spans="2:4">
      <c r="B46" s="28"/>
      <c r="C46" s="28"/>
      <c r="D46" s="28"/>
    </row>
    <row r="47" spans="2:4">
      <c r="B47" s="90" t="s">
        <v>263</v>
      </c>
      <c r="C47" s="90" t="s">
        <v>241</v>
      </c>
      <c r="D47" s="28"/>
    </row>
    <row r="48" spans="2:4">
      <c r="B48" s="28" t="s">
        <v>264</v>
      </c>
      <c r="C48" s="28">
        <v>1</v>
      </c>
      <c r="D48" s="28"/>
    </row>
    <row r="49" spans="2:4">
      <c r="B49" s="28" t="s">
        <v>265</v>
      </c>
      <c r="C49" s="28">
        <v>0.96699999999999997</v>
      </c>
      <c r="D49" s="28"/>
    </row>
    <row r="50" spans="2:4">
      <c r="B50" s="28" t="s">
        <v>266</v>
      </c>
      <c r="C50" s="28">
        <v>0.93300000000000005</v>
      </c>
      <c r="D50" s="28"/>
    </row>
    <row r="51" spans="2:4">
      <c r="B51" s="28" t="s">
        <v>267</v>
      </c>
      <c r="C51" s="28">
        <v>0.9</v>
      </c>
      <c r="D51" s="28"/>
    </row>
    <row r="52" spans="2:4">
      <c r="B52" s="28" t="s">
        <v>268</v>
      </c>
      <c r="C52" s="28">
        <v>0.86699999999999999</v>
      </c>
      <c r="D52" s="28"/>
    </row>
  </sheetData>
  <mergeCells count="8">
    <mergeCell ref="F17:G17"/>
    <mergeCell ref="B22:C23"/>
    <mergeCell ref="B2:D3"/>
    <mergeCell ref="F12:G12"/>
    <mergeCell ref="F13:G13"/>
    <mergeCell ref="F14:G14"/>
    <mergeCell ref="F15:G15"/>
    <mergeCell ref="F16:G16"/>
  </mergeCells>
  <dataValidations count="1">
    <dataValidation type="list" allowBlank="1" showInputMessage="1" showErrorMessage="1" sqref="H5" xr:uid="{00000000-0002-0000-0500-000000000000}">
      <formula1>$B$6:$B$8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775"/>
  <sheetViews>
    <sheetView topLeftCell="H1" zoomScale="90" workbookViewId="0">
      <selection activeCell="Q14" sqref="Q14"/>
    </sheetView>
  </sheetViews>
  <sheetFormatPr defaultColWidth="8.85546875" defaultRowHeight="15"/>
  <cols>
    <col min="1" max="1" width="13.5703125" style="100" customWidth="1"/>
    <col min="2" max="2" width="14" style="68" bestFit="1" customWidth="1"/>
    <col min="3" max="3" width="23.28515625" style="68" bestFit="1" customWidth="1"/>
    <col min="4" max="4" width="13.5703125" style="68" bestFit="1" customWidth="1"/>
    <col min="5" max="5" width="26.85546875" style="68" bestFit="1" customWidth="1"/>
    <col min="6" max="6" width="24" style="68" bestFit="1" customWidth="1"/>
    <col min="7" max="7" width="34.7109375" style="68" bestFit="1" customWidth="1"/>
    <col min="8" max="8" width="13.5703125" style="100" customWidth="1"/>
    <col min="9" max="9" width="13.5703125" style="68" customWidth="1"/>
    <col min="10" max="10" width="15.140625" style="68" customWidth="1"/>
    <col min="11" max="11" width="18.140625" style="68" customWidth="1"/>
    <col min="12" max="12" width="19.28515625" style="68" customWidth="1"/>
    <col min="13" max="13" width="18.7109375" style="68" customWidth="1"/>
    <col min="14" max="14" width="16.140625" style="68" customWidth="1"/>
    <col min="15" max="15" width="22.7109375" style="68" customWidth="1"/>
    <col min="16" max="16" width="27.5703125" style="68" customWidth="1"/>
    <col min="17" max="17" width="26.28515625" style="68" customWidth="1"/>
    <col min="18" max="18" width="18.140625" style="68" customWidth="1"/>
    <col min="19" max="19" width="17" style="68" customWidth="1"/>
    <col min="20" max="16384" width="8.85546875" style="68"/>
  </cols>
  <sheetData>
    <row r="1" spans="1:19">
      <c r="B1" s="68" t="s">
        <v>269</v>
      </c>
      <c r="C1" s="68" t="s">
        <v>270</v>
      </c>
      <c r="D1" s="68" t="s">
        <v>271</v>
      </c>
      <c r="E1" s="68" t="s">
        <v>272</v>
      </c>
      <c r="F1" s="68" t="s">
        <v>273</v>
      </c>
      <c r="G1" s="68" t="s">
        <v>274</v>
      </c>
      <c r="H1" s="100" t="s">
        <v>275</v>
      </c>
      <c r="I1" s="68" t="s">
        <v>276</v>
      </c>
      <c r="J1" s="68" t="s">
        <v>277</v>
      </c>
      <c r="K1" s="68" t="s">
        <v>278</v>
      </c>
      <c r="P1" s="101" t="s">
        <v>279</v>
      </c>
      <c r="Q1" s="102">
        <f>ct</f>
        <v>0.42486133646629831</v>
      </c>
    </row>
    <row r="2" spans="1:19">
      <c r="A2" s="103" t="s">
        <v>280</v>
      </c>
      <c r="B2" s="92" t="s">
        <v>281</v>
      </c>
      <c r="C2" s="92" t="s">
        <v>282</v>
      </c>
      <c r="D2" s="92" t="s">
        <v>283</v>
      </c>
      <c r="E2" s="92" t="s">
        <v>284</v>
      </c>
      <c r="F2" s="92" t="s">
        <v>285</v>
      </c>
      <c r="G2" s="92" t="s">
        <v>286</v>
      </c>
      <c r="H2" s="100" t="s">
        <v>176</v>
      </c>
      <c r="I2" s="68" t="s">
        <v>176</v>
      </c>
      <c r="J2" s="68" t="s">
        <v>287</v>
      </c>
      <c r="K2" s="68">
        <f t="shared" ref="K2:K65" si="0">IF(IF(I2&gt;=$Q$3,I2,$Q$2+10)&lt;=$Q$2,A2,0)</f>
        <v>0</v>
      </c>
      <c r="L2" s="92" t="s">
        <v>288</v>
      </c>
      <c r="M2" s="92" t="s">
        <v>289</v>
      </c>
      <c r="P2" s="101" t="s">
        <v>290</v>
      </c>
      <c r="Q2" s="104">
        <f>diafa+60</f>
        <v>611.42956886334161</v>
      </c>
    </row>
    <row r="3" spans="1:19">
      <c r="A3" s="100" t="str">
        <f>MID(Page012[[#This Row],[Column5]],SEARCH("(",Page012[[#This Row],[Column5]])+1,SEARCH(")",Page012[[#This Row],[Column5]])-SEARCH("(",Page012[[#This Row],[Column5]])-1)</f>
        <v>1.24</v>
      </c>
      <c r="B3" s="68" t="s">
        <v>291</v>
      </c>
      <c r="C3" s="68" t="s">
        <v>292</v>
      </c>
      <c r="D3" s="68" t="s">
        <v>293</v>
      </c>
      <c r="E3" s="68" t="s">
        <v>294</v>
      </c>
      <c r="F3" s="100" t="s">
        <v>295</v>
      </c>
      <c r="G3" s="68">
        <v>0.28000000000000003</v>
      </c>
      <c r="H3" s="100" t="str">
        <f>MID(Page012[[#This Row],[Column4]],SEARCH("(",Page012[[#This Row],[Column4]])+1,SEARCH(")",Page012[[#This Row],[Column4]])-SEARCH("(",Page012[[#This Row],[Column4]])-1)</f>
        <v>10.3</v>
      </c>
      <c r="I3" s="68">
        <v>10.3</v>
      </c>
      <c r="J3" s="68">
        <f t="shared" ref="J3:J66" si="1">IF(IF(I3&gt;=$Q$3,I3,$Q$2+10)&lt;=$Q$2,I3,0)</f>
        <v>0</v>
      </c>
      <c r="K3" s="68">
        <f t="shared" si="0"/>
        <v>0</v>
      </c>
      <c r="L3" s="100">
        <f t="shared" ref="L3:L66" si="2">K3-$Q$1</f>
        <v>-0.42486133646629831</v>
      </c>
      <c r="M3" s="68">
        <f>IF(L3&lt;0,10,L3)</f>
        <v>10</v>
      </c>
      <c r="P3" s="101" t="s">
        <v>296</v>
      </c>
      <c r="Q3" s="104">
        <f>diafa</f>
        <v>551.42956886334161</v>
      </c>
    </row>
    <row r="4" spans="1:19">
      <c r="A4" s="100" t="str">
        <f>MID(Page012[[#This Row],[Column5]],SEARCH("(",Page012[[#This Row],[Column5]])+1,SEARCH(")",Page012[[#This Row],[Column5]])-SEARCH("(",Page012[[#This Row],[Column5]])-1)</f>
        <v>1.45</v>
      </c>
      <c r="B4" s="68" t="s">
        <v>291</v>
      </c>
      <c r="C4" s="68" t="s">
        <v>292</v>
      </c>
      <c r="D4" s="68" t="s">
        <v>297</v>
      </c>
      <c r="E4" s="68" t="s">
        <v>294</v>
      </c>
      <c r="F4" s="68" t="s">
        <v>298</v>
      </c>
      <c r="G4" s="68">
        <v>0.32</v>
      </c>
      <c r="H4" s="100" t="str">
        <f>MID(Page012[[#This Row],[Column4]],SEARCH("(",Page012[[#This Row],[Column4]])+1,SEARCH(")",Page012[[#This Row],[Column4]])-SEARCH("(",Page012[[#This Row],[Column4]])-1)</f>
        <v>10.3</v>
      </c>
      <c r="I4" s="68">
        <v>10.3</v>
      </c>
      <c r="J4" s="68">
        <f t="shared" si="1"/>
        <v>0</v>
      </c>
      <c r="K4" s="68">
        <f t="shared" si="0"/>
        <v>0</v>
      </c>
      <c r="L4" s="100">
        <f t="shared" si="2"/>
        <v>-0.42486133646629831</v>
      </c>
      <c r="M4" s="68">
        <f t="shared" ref="M4:M67" si="3">IF(L4&lt;0,10,L4)</f>
        <v>10</v>
      </c>
      <c r="P4" s="101" t="s">
        <v>299</v>
      </c>
      <c r="Q4" s="104">
        <f>MIN(M:M)</f>
        <v>4.3551386635337019</v>
      </c>
    </row>
    <row r="5" spans="1:19">
      <c r="A5" s="100" t="str">
        <f>MID(Page012[[#This Row],[Column5]],SEARCH("(",Page012[[#This Row],[Column5]])+1,SEARCH(")",Page012[[#This Row],[Column5]])-SEARCH("(",Page012[[#This Row],[Column5]])-1)</f>
        <v>1.73</v>
      </c>
      <c r="B5" s="68" t="s">
        <v>291</v>
      </c>
      <c r="C5" s="68" t="s">
        <v>300</v>
      </c>
      <c r="D5" s="68" t="s">
        <v>301</v>
      </c>
      <c r="E5" s="68" t="s">
        <v>294</v>
      </c>
      <c r="F5" s="68" t="s">
        <v>302</v>
      </c>
      <c r="G5" s="68">
        <v>0.37</v>
      </c>
      <c r="H5" s="100" t="str">
        <f>MID(Page012[[#This Row],[Column4]],SEARCH("(",Page012[[#This Row],[Column4]])+1,SEARCH(")",Page012[[#This Row],[Column4]])-SEARCH("(",Page012[[#This Row],[Column4]])-1)</f>
        <v>10.3</v>
      </c>
      <c r="I5" s="68">
        <v>10.3</v>
      </c>
      <c r="J5" s="68">
        <f t="shared" si="1"/>
        <v>0</v>
      </c>
      <c r="K5" s="68">
        <f t="shared" si="0"/>
        <v>0</v>
      </c>
      <c r="L5" s="100">
        <f t="shared" si="2"/>
        <v>-0.42486133646629831</v>
      </c>
      <c r="M5" s="68">
        <f t="shared" si="3"/>
        <v>10</v>
      </c>
    </row>
    <row r="6" spans="1:19">
      <c r="A6" s="100" t="str">
        <f>MID(Page012[[#This Row],[Column5]],SEARCH("(",Page012[[#This Row],[Column5]])+1,SEARCH(")",Page012[[#This Row],[Column5]])-SEARCH("(",Page012[[#This Row],[Column5]])-1)</f>
        <v>2.41</v>
      </c>
      <c r="B6" s="68" t="s">
        <v>291</v>
      </c>
      <c r="C6" s="68" t="s">
        <v>303</v>
      </c>
      <c r="D6" s="68" t="s">
        <v>304</v>
      </c>
      <c r="E6" s="68" t="s">
        <v>294</v>
      </c>
      <c r="F6" s="68" t="s">
        <v>305</v>
      </c>
      <c r="G6" s="68">
        <v>0.47</v>
      </c>
      <c r="H6" s="100" t="str">
        <f>MID(Page012[[#This Row],[Column4]],SEARCH("(",Page012[[#This Row],[Column4]])+1,SEARCH(")",Page012[[#This Row],[Column4]])-SEARCH("(",Page012[[#This Row],[Column4]])-1)</f>
        <v>10.3</v>
      </c>
      <c r="I6" s="68">
        <v>10.3</v>
      </c>
      <c r="J6" s="68">
        <f t="shared" si="1"/>
        <v>0</v>
      </c>
      <c r="K6" s="68">
        <f t="shared" si="0"/>
        <v>0</v>
      </c>
      <c r="L6" s="100">
        <f t="shared" si="2"/>
        <v>-0.42486133646629831</v>
      </c>
      <c r="M6" s="68">
        <f t="shared" si="3"/>
        <v>10</v>
      </c>
    </row>
    <row r="7" spans="1:19">
      <c r="A7" s="100" t="str">
        <f>MID(Page012[[#This Row],[Column5]],SEARCH("(",Page012[[#This Row],[Column5]])+1,SEARCH(")",Page012[[#This Row],[Column5]])-SEARCH("(",Page012[[#This Row],[Column5]])-1)</f>
        <v>3.15</v>
      </c>
      <c r="B7" s="68" t="s">
        <v>291</v>
      </c>
      <c r="C7" s="68" t="s">
        <v>292</v>
      </c>
      <c r="D7" s="68" t="s">
        <v>306</v>
      </c>
      <c r="E7" s="68" t="s">
        <v>294</v>
      </c>
      <c r="F7" s="68" t="s">
        <v>307</v>
      </c>
      <c r="G7" s="68">
        <v>0.56000000000000005</v>
      </c>
      <c r="H7" s="100" t="str">
        <f>MID(Page012[[#This Row],[Column4]],SEARCH("(",Page012[[#This Row],[Column4]])+1,SEARCH(")",Page012[[#This Row],[Column4]])-SEARCH("(",Page012[[#This Row],[Column4]])-1)</f>
        <v>10.3</v>
      </c>
      <c r="I7" s="68">
        <v>10.3</v>
      </c>
      <c r="J7" s="68">
        <f t="shared" si="1"/>
        <v>0</v>
      </c>
      <c r="K7" s="68">
        <f t="shared" si="0"/>
        <v>0</v>
      </c>
      <c r="L7" s="100">
        <f t="shared" si="2"/>
        <v>-0.42486133646629831</v>
      </c>
      <c r="M7" s="68">
        <f t="shared" si="3"/>
        <v>10</v>
      </c>
    </row>
    <row r="8" spans="1:19">
      <c r="A8" s="100" t="str">
        <f>MID(Page012[[#This Row],[Column5]],SEARCH("(",Page012[[#This Row],[Column5]])+1,SEARCH(")",Page012[[#This Row],[Column5]])-SEARCH("(",Page012[[#This Row],[Column5]])-1)</f>
        <v>4.83</v>
      </c>
      <c r="B8" s="68" t="s">
        <v>291</v>
      </c>
      <c r="C8" s="68" t="s">
        <v>308</v>
      </c>
      <c r="D8" s="68" t="s">
        <v>292</v>
      </c>
      <c r="E8" s="68" t="s">
        <v>294</v>
      </c>
      <c r="F8" s="68" t="s">
        <v>309</v>
      </c>
      <c r="G8" s="68">
        <v>0.65</v>
      </c>
      <c r="H8" s="100" t="str">
        <f>MID(Page012[[#This Row],[Column4]],SEARCH("(",Page012[[#This Row],[Column4]])+1,SEARCH(")",Page012[[#This Row],[Column4]])-SEARCH("(",Page012[[#This Row],[Column4]])-1)</f>
        <v>10.3</v>
      </c>
      <c r="I8" s="68">
        <v>10.3</v>
      </c>
      <c r="J8" s="68">
        <f t="shared" si="1"/>
        <v>0</v>
      </c>
      <c r="K8" s="68">
        <f t="shared" si="0"/>
        <v>0</v>
      </c>
      <c r="L8" s="100">
        <f t="shared" si="2"/>
        <v>-0.42486133646629831</v>
      </c>
      <c r="M8" s="68">
        <f t="shared" si="3"/>
        <v>10</v>
      </c>
    </row>
    <row r="9" spans="1:19">
      <c r="A9" s="100" t="str">
        <f>MID(Page012[[#This Row],[Column5]],SEARCH("(",Page012[[#This Row],[Column5]])+1,SEARCH(")",Page012[[#This Row],[Column5]])-SEARCH("(",Page012[[#This Row],[Column5]])-1)</f>
        <v>1.65</v>
      </c>
      <c r="B9" s="68" t="s">
        <v>310</v>
      </c>
      <c r="C9" s="68" t="s">
        <v>292</v>
      </c>
      <c r="D9" s="68" t="s">
        <v>293</v>
      </c>
      <c r="E9" s="68" t="s">
        <v>311</v>
      </c>
      <c r="F9" s="68" t="s">
        <v>312</v>
      </c>
      <c r="G9" s="68">
        <v>0.49</v>
      </c>
      <c r="H9" s="100" t="str">
        <f>MID(Page012[[#This Row],[Column4]],SEARCH("(",Page012[[#This Row],[Column4]])+1,SEARCH(")",Page012[[#This Row],[Column4]])-SEARCH("(",Page012[[#This Row],[Column4]])-1)</f>
        <v>13.7</v>
      </c>
      <c r="I9" s="68">
        <v>13.7</v>
      </c>
      <c r="J9" s="68">
        <f t="shared" si="1"/>
        <v>0</v>
      </c>
      <c r="K9" s="68">
        <f t="shared" si="0"/>
        <v>0</v>
      </c>
      <c r="L9" s="100">
        <f t="shared" si="2"/>
        <v>-0.42486133646629831</v>
      </c>
      <c r="M9" s="68">
        <f t="shared" si="3"/>
        <v>10</v>
      </c>
    </row>
    <row r="10" spans="1:19">
      <c r="A10" s="100" t="str">
        <f>MID(Page012[[#This Row],[Column5]],SEARCH("(",Page012[[#This Row],[Column5]])+1,SEARCH(")",Page012[[#This Row],[Column5]])-SEARCH("(",Page012[[#This Row],[Column5]])-1)</f>
        <v>1.85</v>
      </c>
      <c r="B10" s="68" t="s">
        <v>310</v>
      </c>
      <c r="C10" s="68" t="s">
        <v>292</v>
      </c>
      <c r="D10" s="68" t="s">
        <v>297</v>
      </c>
      <c r="E10" s="68" t="s">
        <v>311</v>
      </c>
      <c r="F10" s="68" t="s">
        <v>313</v>
      </c>
      <c r="G10" s="68">
        <v>0.54</v>
      </c>
      <c r="H10" s="100" t="str">
        <f>MID(Page012[[#This Row],[Column4]],SEARCH("(",Page012[[#This Row],[Column4]])+1,SEARCH(")",Page012[[#This Row],[Column4]])-SEARCH("(",Page012[[#This Row],[Column4]])-1)</f>
        <v>13.7</v>
      </c>
      <c r="I10" s="68">
        <v>13.7</v>
      </c>
      <c r="J10" s="68">
        <f t="shared" si="1"/>
        <v>0</v>
      </c>
      <c r="K10" s="68">
        <f t="shared" si="0"/>
        <v>0</v>
      </c>
      <c r="L10" s="100">
        <f t="shared" si="2"/>
        <v>-0.42486133646629831</v>
      </c>
      <c r="M10" s="68">
        <f t="shared" si="3"/>
        <v>10</v>
      </c>
    </row>
    <row r="11" spans="1:19">
      <c r="A11" s="100" t="str">
        <f>MID(Page012[[#This Row],[Column5]],SEARCH("(",Page012[[#This Row],[Column5]])+1,SEARCH(")",Page012[[#This Row],[Column5]])-SEARCH("(",Page012[[#This Row],[Column5]])-1)</f>
        <v>2.24</v>
      </c>
      <c r="B11" s="68" t="s">
        <v>310</v>
      </c>
      <c r="C11" s="68" t="s">
        <v>300</v>
      </c>
      <c r="D11" s="68" t="s">
        <v>301</v>
      </c>
      <c r="E11" s="68" t="s">
        <v>311</v>
      </c>
      <c r="F11" s="68" t="s">
        <v>314</v>
      </c>
      <c r="G11" s="68">
        <v>0.63</v>
      </c>
      <c r="H11" s="100" t="str">
        <f>MID(Page012[[#This Row],[Column4]],SEARCH("(",Page012[[#This Row],[Column4]])+1,SEARCH(")",Page012[[#This Row],[Column4]])-SEARCH("(",Page012[[#This Row],[Column4]])-1)</f>
        <v>13.7</v>
      </c>
      <c r="I11" s="68">
        <v>13.7</v>
      </c>
      <c r="J11" s="68">
        <f t="shared" si="1"/>
        <v>0</v>
      </c>
      <c r="K11" s="68">
        <f t="shared" si="0"/>
        <v>0</v>
      </c>
      <c r="L11" s="100">
        <f t="shared" si="2"/>
        <v>-0.42486133646629831</v>
      </c>
      <c r="M11" s="68">
        <f t="shared" si="3"/>
        <v>10</v>
      </c>
    </row>
    <row r="12" spans="1:19">
      <c r="A12" s="100" t="str">
        <f>MID(Page012[[#This Row],[Column5]],SEARCH("(",Page012[[#This Row],[Column5]])+1,SEARCH(")",Page012[[#This Row],[Column5]])-SEARCH("(",Page012[[#This Row],[Column5]])-1)</f>
        <v>3.02</v>
      </c>
      <c r="B12" s="68" t="s">
        <v>310</v>
      </c>
      <c r="C12" s="68" t="s">
        <v>303</v>
      </c>
      <c r="D12" s="68" t="s">
        <v>304</v>
      </c>
      <c r="E12" s="68" t="s">
        <v>311</v>
      </c>
      <c r="F12" s="68" t="s">
        <v>315</v>
      </c>
      <c r="G12" s="68">
        <v>0.8</v>
      </c>
      <c r="H12" s="100" t="str">
        <f>MID(Page012[[#This Row],[Column4]],SEARCH("(",Page012[[#This Row],[Column4]])+1,SEARCH(")",Page012[[#This Row],[Column4]])-SEARCH("(",Page012[[#This Row],[Column4]])-1)</f>
        <v>13.7</v>
      </c>
      <c r="I12" s="68">
        <v>13.7</v>
      </c>
      <c r="J12" s="68">
        <f t="shared" si="1"/>
        <v>0</v>
      </c>
      <c r="K12" s="68">
        <f t="shared" si="0"/>
        <v>0</v>
      </c>
      <c r="L12" s="100">
        <f t="shared" si="2"/>
        <v>-0.42486133646629831</v>
      </c>
      <c r="M12" s="68">
        <f t="shared" si="3"/>
        <v>10</v>
      </c>
      <c r="P12" s="105" t="s">
        <v>280</v>
      </c>
      <c r="Q12" s="105" t="s">
        <v>176</v>
      </c>
      <c r="R12" s="105" t="s">
        <v>316</v>
      </c>
      <c r="S12" s="105" t="s">
        <v>317</v>
      </c>
    </row>
    <row r="13" spans="1:19">
      <c r="A13" s="100" t="str">
        <f>MID(Page012[[#This Row],[Column5]],SEARCH("(",Page012[[#This Row],[Column5]])+1,SEARCH(")",Page012[[#This Row],[Column5]])-SEARCH("(",Page012[[#This Row],[Column5]])-1)</f>
        <v>3.68</v>
      </c>
      <c r="B13" s="68" t="s">
        <v>310</v>
      </c>
      <c r="C13" s="68" t="s">
        <v>292</v>
      </c>
      <c r="D13" s="68" t="s">
        <v>306</v>
      </c>
      <c r="E13" s="68" t="s">
        <v>311</v>
      </c>
      <c r="F13" s="68" t="s">
        <v>318</v>
      </c>
      <c r="G13" s="68">
        <v>0.91</v>
      </c>
      <c r="H13" s="100" t="str">
        <f>MID(Page012[[#This Row],[Column4]],SEARCH("(",Page012[[#This Row],[Column4]])+1,SEARCH(")",Page012[[#This Row],[Column4]])-SEARCH("(",Page012[[#This Row],[Column4]])-1)</f>
        <v>13.7</v>
      </c>
      <c r="I13" s="68">
        <v>13.7</v>
      </c>
      <c r="J13" s="68">
        <f t="shared" si="1"/>
        <v>0</v>
      </c>
      <c r="K13" s="68">
        <f t="shared" si="0"/>
        <v>0</v>
      </c>
      <c r="L13" s="100">
        <f t="shared" si="2"/>
        <v>-0.42486133646629831</v>
      </c>
      <c r="M13" s="68">
        <f t="shared" si="3"/>
        <v>10</v>
      </c>
      <c r="O13" s="106" t="s">
        <v>319</v>
      </c>
      <c r="P13" s="107" t="str">
        <f t="array" ref="P13">INDEX(A3:A774,MATCH(MIN(M3:M774),M3:M774,0),0)</f>
        <v>4.78</v>
      </c>
      <c r="Q13" s="107">
        <f>INDEX(J3:J774,MATCH(MIN(M3:M774),M3:M774,0),0)</f>
        <v>559</v>
      </c>
      <c r="R13" s="107" t="str">
        <f t="array" ref="R13">INDEX(B3:B774,MATCH(MIN(M3:M774),M3:M774,0),0)</f>
        <v>22(550)</v>
      </c>
      <c r="S13" s="107">
        <f>INDEX(G3:G774,MATCH(MIN(M3:M774),M3:M774,0),0)</f>
        <v>65.33</v>
      </c>
    </row>
    <row r="14" spans="1:19">
      <c r="A14" s="100" t="str">
        <f>MID(Page012[[#This Row],[Column5]],SEARCH("(",Page012[[#This Row],[Column5]])+1,SEARCH(")",Page012[[#This Row],[Column5]])-SEARCH("(",Page012[[#This Row],[Column5]])-1)</f>
        <v>6.05</v>
      </c>
      <c r="B14" s="68" t="s">
        <v>310</v>
      </c>
      <c r="C14" s="68" t="s">
        <v>308</v>
      </c>
      <c r="D14" s="68" t="s">
        <v>292</v>
      </c>
      <c r="E14" s="68" t="s">
        <v>311</v>
      </c>
      <c r="F14" s="68" t="s">
        <v>320</v>
      </c>
      <c r="G14" s="68">
        <v>1.41</v>
      </c>
      <c r="H14" s="100" t="str">
        <f>MID(Page012[[#This Row],[Column4]],SEARCH("(",Page012[[#This Row],[Column4]])+1,SEARCH(")",Page012[[#This Row],[Column4]])-SEARCH("(",Page012[[#This Row],[Column4]])-1)</f>
        <v>13.7</v>
      </c>
      <c r="I14" s="68">
        <v>13.7</v>
      </c>
      <c r="J14" s="68">
        <f t="shared" si="1"/>
        <v>0</v>
      </c>
      <c r="K14" s="68">
        <f t="shared" si="0"/>
        <v>0</v>
      </c>
      <c r="L14" s="100">
        <f t="shared" si="2"/>
        <v>-0.42486133646629831</v>
      </c>
      <c r="M14" s="68">
        <f t="shared" si="3"/>
        <v>10</v>
      </c>
      <c r="O14" s="106" t="s">
        <v>321</v>
      </c>
      <c r="P14" s="107" t="str">
        <f>IF(EXACT(P13,A3),"No standard Available",P13)</f>
        <v>4.78</v>
      </c>
      <c r="Q14" s="107">
        <f>IF(EXACT(Q13,J3),"No Standard Available",Q13)</f>
        <v>559</v>
      </c>
      <c r="R14" s="107" t="str">
        <f>IF(EXACT(R13,B3),"No Standard Available",R13)</f>
        <v>22(550)</v>
      </c>
      <c r="S14" s="107">
        <f>IF(EXACT(S13,G3),"No Standard Available",S13)</f>
        <v>65.33</v>
      </c>
    </row>
    <row r="15" spans="1:19">
      <c r="A15" s="100" t="str">
        <f>MID(Page012[[#This Row],[Column5]],SEARCH("(",Page012[[#This Row],[Column5]])+1,SEARCH(")",Page012[[#This Row],[Column5]])-SEARCH("(",Page012[[#This Row],[Column5]])-1)</f>
        <v>1.65</v>
      </c>
      <c r="B15" s="68" t="s">
        <v>322</v>
      </c>
      <c r="C15" s="68" t="s">
        <v>292</v>
      </c>
      <c r="D15" s="68" t="s">
        <v>293</v>
      </c>
      <c r="E15" s="68" t="s">
        <v>323</v>
      </c>
      <c r="F15" s="68" t="s">
        <v>312</v>
      </c>
      <c r="G15" s="68">
        <v>0.63</v>
      </c>
      <c r="H15" s="100" t="str">
        <f>MID(Page012[[#This Row],[Column4]],SEARCH("(",Page012[[#This Row],[Column4]])+1,SEARCH(")",Page012[[#This Row],[Column4]])-SEARCH("(",Page012[[#This Row],[Column4]])-1)</f>
        <v>17.1</v>
      </c>
      <c r="I15" s="68">
        <v>17.100000000000001</v>
      </c>
      <c r="J15" s="68">
        <f t="shared" si="1"/>
        <v>0</v>
      </c>
      <c r="K15" s="68">
        <f t="shared" si="0"/>
        <v>0</v>
      </c>
      <c r="L15" s="100">
        <f t="shared" si="2"/>
        <v>-0.42486133646629831</v>
      </c>
      <c r="M15" s="68">
        <f t="shared" si="3"/>
        <v>10</v>
      </c>
      <c r="O15" s="106" t="s">
        <v>242</v>
      </c>
      <c r="P15" s="107" t="str">
        <f>VLOOKUP('Asme Standards'!P14,'Asme Standards'!A3:H774, 4,TRUE)</f>
        <v>…</v>
      </c>
      <c r="Q15" s="107" t="s">
        <v>292</v>
      </c>
      <c r="R15" s="107" t="s">
        <v>7</v>
      </c>
      <c r="S15" s="107" t="s">
        <v>7</v>
      </c>
    </row>
    <row r="16" spans="1:19">
      <c r="A16" s="100" t="str">
        <f>MID(Page012[[#This Row],[Column5]],SEARCH("(",Page012[[#This Row],[Column5]])+1,SEARCH(")",Page012[[#This Row],[Column5]])-SEARCH("(",Page012[[#This Row],[Column5]])-1)</f>
        <v>1.85</v>
      </c>
      <c r="B16" s="68" t="s">
        <v>322</v>
      </c>
      <c r="C16" s="68" t="s">
        <v>292</v>
      </c>
      <c r="D16" s="68" t="s">
        <v>297</v>
      </c>
      <c r="E16" s="68" t="s">
        <v>323</v>
      </c>
      <c r="F16" s="68" t="s">
        <v>313</v>
      </c>
      <c r="G16" s="68">
        <v>0.7</v>
      </c>
      <c r="H16" s="100" t="str">
        <f>MID(Page012[[#This Row],[Column4]],SEARCH("(",Page012[[#This Row],[Column4]])+1,SEARCH(")",Page012[[#This Row],[Column4]])-SEARCH("(",Page012[[#This Row],[Column4]])-1)</f>
        <v>17.1</v>
      </c>
      <c r="I16" s="68">
        <v>17.100000000000001</v>
      </c>
      <c r="J16" s="68">
        <f t="shared" si="1"/>
        <v>0</v>
      </c>
      <c r="K16" s="68">
        <f t="shared" si="0"/>
        <v>0</v>
      </c>
      <c r="L16" s="100">
        <f t="shared" si="2"/>
        <v>-0.42486133646629831</v>
      </c>
      <c r="M16" s="68">
        <f t="shared" si="3"/>
        <v>10</v>
      </c>
      <c r="O16" s="106" t="s">
        <v>324</v>
      </c>
      <c r="P16" s="107" t="str">
        <f>P15</f>
        <v>…</v>
      </c>
      <c r="Q16" s="107" t="str">
        <f>IF(EXACT(P15,Q15),"NON Standard Commercial","Standard Commercial")</f>
        <v>NON Standard Commercial</v>
      </c>
      <c r="R16" s="107" t="s">
        <v>7</v>
      </c>
      <c r="S16" s="107" t="s">
        <v>7</v>
      </c>
    </row>
    <row r="17" spans="1:13">
      <c r="A17" s="100" t="str">
        <f>MID(Page012[[#This Row],[Column5]],SEARCH("(",Page012[[#This Row],[Column5]])+1,SEARCH(")",Page012[[#This Row],[Column5]])-SEARCH("(",Page012[[#This Row],[Column5]])-1)</f>
        <v>2.31</v>
      </c>
      <c r="B17" s="68" t="s">
        <v>322</v>
      </c>
      <c r="C17" s="68" t="s">
        <v>300</v>
      </c>
      <c r="D17" s="68" t="s">
        <v>301</v>
      </c>
      <c r="E17" s="68" t="s">
        <v>323</v>
      </c>
      <c r="F17" s="68" t="s">
        <v>325</v>
      </c>
      <c r="G17" s="68">
        <v>0.84</v>
      </c>
      <c r="H17" s="100" t="str">
        <f>MID(Page012[[#This Row],[Column4]],SEARCH("(",Page012[[#This Row],[Column4]])+1,SEARCH(")",Page012[[#This Row],[Column4]])-SEARCH("(",Page012[[#This Row],[Column4]])-1)</f>
        <v>17.1</v>
      </c>
      <c r="I17" s="68">
        <v>17.100000000000001</v>
      </c>
      <c r="J17" s="68">
        <f t="shared" si="1"/>
        <v>0</v>
      </c>
      <c r="K17" s="68">
        <f t="shared" si="0"/>
        <v>0</v>
      </c>
      <c r="L17" s="100">
        <f t="shared" si="2"/>
        <v>-0.42486133646629831</v>
      </c>
      <c r="M17" s="68">
        <f t="shared" si="3"/>
        <v>10</v>
      </c>
    </row>
    <row r="18" spans="1:13">
      <c r="A18" s="100" t="str">
        <f>MID(Page012[[#This Row],[Column5]],SEARCH("(",Page012[[#This Row],[Column5]])+1,SEARCH(")",Page012[[#This Row],[Column5]])-SEARCH("(",Page012[[#This Row],[Column5]])-1)</f>
        <v>3.20</v>
      </c>
      <c r="B18" s="68" t="s">
        <v>322</v>
      </c>
      <c r="C18" s="68" t="s">
        <v>303</v>
      </c>
      <c r="D18" s="68" t="s">
        <v>304</v>
      </c>
      <c r="E18" s="68" t="s">
        <v>323</v>
      </c>
      <c r="F18" s="68" t="s">
        <v>326</v>
      </c>
      <c r="G18" s="68">
        <v>1.1000000000000001</v>
      </c>
      <c r="H18" s="100" t="str">
        <f>MID(Page012[[#This Row],[Column4]],SEARCH("(",Page012[[#This Row],[Column4]])+1,SEARCH(")",Page012[[#This Row],[Column4]])-SEARCH("(",Page012[[#This Row],[Column4]])-1)</f>
        <v>17.1</v>
      </c>
      <c r="I18" s="68">
        <v>17.100000000000001</v>
      </c>
      <c r="J18" s="68">
        <f t="shared" si="1"/>
        <v>0</v>
      </c>
      <c r="K18" s="68">
        <f t="shared" si="0"/>
        <v>0</v>
      </c>
      <c r="L18" s="100">
        <f t="shared" si="2"/>
        <v>-0.42486133646629831</v>
      </c>
      <c r="M18" s="68">
        <f t="shared" si="3"/>
        <v>10</v>
      </c>
    </row>
    <row r="19" spans="1:13">
      <c r="A19" s="100" t="str">
        <f>MID(Page012[[#This Row],[Column5]],SEARCH("(",Page012[[#This Row],[Column5]])+1,SEARCH(")",Page012[[#This Row],[Column5]])-SEARCH("(",Page012[[#This Row],[Column5]])-1)</f>
        <v>4.01</v>
      </c>
      <c r="B19" s="68" t="s">
        <v>322</v>
      </c>
      <c r="C19" s="68" t="s">
        <v>292</v>
      </c>
      <c r="D19" s="68" t="s">
        <v>306</v>
      </c>
      <c r="E19" s="68" t="s">
        <v>323</v>
      </c>
      <c r="F19" s="68" t="s">
        <v>327</v>
      </c>
      <c r="G19" s="68">
        <v>1.29</v>
      </c>
      <c r="H19" s="100" t="str">
        <f>MID(Page012[[#This Row],[Column4]],SEARCH("(",Page012[[#This Row],[Column4]])+1,SEARCH(")",Page012[[#This Row],[Column4]])-SEARCH("(",Page012[[#This Row],[Column4]])-1)</f>
        <v>17.1</v>
      </c>
      <c r="I19" s="68">
        <v>17.100000000000001</v>
      </c>
      <c r="J19" s="68">
        <f t="shared" si="1"/>
        <v>0</v>
      </c>
      <c r="K19" s="68">
        <f t="shared" si="0"/>
        <v>0</v>
      </c>
      <c r="L19" s="100">
        <f t="shared" si="2"/>
        <v>-0.42486133646629831</v>
      </c>
      <c r="M19" s="68">
        <f t="shared" si="3"/>
        <v>10</v>
      </c>
    </row>
    <row r="20" spans="1:13">
      <c r="A20" s="100" t="str">
        <f>MID(Page012[[#This Row],[Column5]],SEARCH("(",Page012[[#This Row],[Column5]])+1,SEARCH(")",Page012[[#This Row],[Column5]])-SEARCH("(",Page012[[#This Row],[Column5]])-1)</f>
        <v>6.40</v>
      </c>
      <c r="B20" s="68" t="s">
        <v>322</v>
      </c>
      <c r="C20" s="68" t="s">
        <v>308</v>
      </c>
      <c r="D20" s="68" t="s">
        <v>292</v>
      </c>
      <c r="E20" s="68" t="s">
        <v>323</v>
      </c>
      <c r="F20" s="68" t="s">
        <v>328</v>
      </c>
      <c r="G20" s="68">
        <v>1.69</v>
      </c>
      <c r="H20" s="100" t="str">
        <f>MID(Page012[[#This Row],[Column4]],SEARCH("(",Page012[[#This Row],[Column4]])+1,SEARCH(")",Page012[[#This Row],[Column4]])-SEARCH("(",Page012[[#This Row],[Column4]])-1)</f>
        <v>17.1</v>
      </c>
      <c r="I20" s="68">
        <v>17.100000000000001</v>
      </c>
      <c r="J20" s="68">
        <f t="shared" si="1"/>
        <v>0</v>
      </c>
      <c r="K20" s="68">
        <f t="shared" si="0"/>
        <v>0</v>
      </c>
      <c r="L20" s="100">
        <f t="shared" si="2"/>
        <v>-0.42486133646629831</v>
      </c>
      <c r="M20" s="68">
        <f t="shared" si="3"/>
        <v>10</v>
      </c>
    </row>
    <row r="21" spans="1:13">
      <c r="A21" s="100" t="str">
        <f>MID(Page012[[#This Row],[Column5]],SEARCH("(",Page012[[#This Row],[Column5]])+1,SEARCH(")",Page012[[#This Row],[Column5]])-SEARCH("(",Page012[[#This Row],[Column5]])-1)</f>
        <v>1.65</v>
      </c>
      <c r="B21" s="68" t="s">
        <v>329</v>
      </c>
      <c r="C21" s="68" t="s">
        <v>292</v>
      </c>
      <c r="D21" s="68" t="s">
        <v>330</v>
      </c>
      <c r="E21" s="68" t="s">
        <v>331</v>
      </c>
      <c r="F21" s="68" t="s">
        <v>312</v>
      </c>
      <c r="G21" s="68">
        <v>0.8</v>
      </c>
      <c r="H21" s="100" t="str">
        <f>MID(Page012[[#This Row],[Column4]],SEARCH("(",Page012[[#This Row],[Column4]])+1,SEARCH(")",Page012[[#This Row],[Column4]])-SEARCH("(",Page012[[#This Row],[Column4]])-1)</f>
        <v>21.3</v>
      </c>
      <c r="I21" s="68">
        <v>21.3</v>
      </c>
      <c r="J21" s="68">
        <f t="shared" si="1"/>
        <v>0</v>
      </c>
      <c r="K21" s="68">
        <f t="shared" si="0"/>
        <v>0</v>
      </c>
      <c r="L21" s="100">
        <f t="shared" si="2"/>
        <v>-0.42486133646629831</v>
      </c>
      <c r="M21" s="68">
        <f t="shared" si="3"/>
        <v>10</v>
      </c>
    </row>
    <row r="22" spans="1:13">
      <c r="A22" s="100" t="str">
        <f>MID(Page012[[#This Row],[Column5]],SEARCH("(",Page012[[#This Row],[Column5]])+1,SEARCH(")",Page012[[#This Row],[Column5]])-SEARCH("(",Page012[[#This Row],[Column5]])-1)</f>
        <v>2.11</v>
      </c>
      <c r="B22" s="68" t="s">
        <v>329</v>
      </c>
      <c r="C22" s="68" t="s">
        <v>292</v>
      </c>
      <c r="D22" s="68" t="s">
        <v>293</v>
      </c>
      <c r="E22" s="68" t="s">
        <v>331</v>
      </c>
      <c r="F22" s="68" t="s">
        <v>332</v>
      </c>
      <c r="G22" s="68">
        <v>1</v>
      </c>
      <c r="H22" s="100" t="str">
        <f>MID(Page012[[#This Row],[Column4]],SEARCH("(",Page012[[#This Row],[Column4]])+1,SEARCH(")",Page012[[#This Row],[Column4]])-SEARCH("(",Page012[[#This Row],[Column4]])-1)</f>
        <v>21.3</v>
      </c>
      <c r="I22" s="68">
        <v>21.3</v>
      </c>
      <c r="J22" s="68">
        <f t="shared" si="1"/>
        <v>0</v>
      </c>
      <c r="K22" s="68">
        <f t="shared" si="0"/>
        <v>0</v>
      </c>
      <c r="L22" s="100">
        <f t="shared" si="2"/>
        <v>-0.42486133646629831</v>
      </c>
      <c r="M22" s="68">
        <f t="shared" si="3"/>
        <v>10</v>
      </c>
    </row>
    <row r="23" spans="1:13">
      <c r="A23" s="100" t="str">
        <f>MID(Page012[[#This Row],[Column5]],SEARCH("(",Page012[[#This Row],[Column5]])+1,SEARCH(")",Page012[[#This Row],[Column5]])-SEARCH("(",Page012[[#This Row],[Column5]])-1)</f>
        <v>2.41</v>
      </c>
      <c r="B23" s="68" t="s">
        <v>329</v>
      </c>
      <c r="C23" s="68" t="s">
        <v>292</v>
      </c>
      <c r="D23" s="68" t="s">
        <v>297</v>
      </c>
      <c r="E23" s="68" t="s">
        <v>331</v>
      </c>
      <c r="F23" s="68" t="s">
        <v>305</v>
      </c>
      <c r="G23" s="68">
        <v>1.1200000000000001</v>
      </c>
      <c r="H23" s="100" t="str">
        <f>MID(Page012[[#This Row],[Column4]],SEARCH("(",Page012[[#This Row],[Column4]])+1,SEARCH(")",Page012[[#This Row],[Column4]])-SEARCH("(",Page012[[#This Row],[Column4]])-1)</f>
        <v>21.3</v>
      </c>
      <c r="I23" s="68">
        <v>21.3</v>
      </c>
      <c r="J23" s="68">
        <f t="shared" si="1"/>
        <v>0</v>
      </c>
      <c r="K23" s="68">
        <f t="shared" si="0"/>
        <v>0</v>
      </c>
      <c r="L23" s="100">
        <f t="shared" si="2"/>
        <v>-0.42486133646629831</v>
      </c>
      <c r="M23" s="68">
        <f t="shared" si="3"/>
        <v>10</v>
      </c>
    </row>
    <row r="24" spans="1:13">
      <c r="A24" s="100" t="str">
        <f>MID(Page012[[#This Row],[Column5]],SEARCH("(",Page012[[#This Row],[Column5]])+1,SEARCH(")",Page012[[#This Row],[Column5]])-SEARCH("(",Page012[[#This Row],[Column5]])-1)</f>
        <v>2.77</v>
      </c>
      <c r="B24" s="68" t="s">
        <v>329</v>
      </c>
      <c r="C24" s="68" t="s">
        <v>300</v>
      </c>
      <c r="D24" s="68" t="s">
        <v>301</v>
      </c>
      <c r="E24" s="68" t="s">
        <v>331</v>
      </c>
      <c r="F24" s="68" t="s">
        <v>333</v>
      </c>
      <c r="G24" s="68">
        <v>1.27</v>
      </c>
      <c r="H24" s="100" t="str">
        <f>MID(Page012[[#This Row],[Column4]],SEARCH("(",Page012[[#This Row],[Column4]])+1,SEARCH(")",Page012[[#This Row],[Column4]])-SEARCH("(",Page012[[#This Row],[Column4]])-1)</f>
        <v>21.3</v>
      </c>
      <c r="I24" s="68">
        <v>21.3</v>
      </c>
      <c r="J24" s="68">
        <f t="shared" si="1"/>
        <v>0</v>
      </c>
      <c r="K24" s="68">
        <f t="shared" si="0"/>
        <v>0</v>
      </c>
      <c r="L24" s="100">
        <f t="shared" si="2"/>
        <v>-0.42486133646629831</v>
      </c>
      <c r="M24" s="68">
        <f t="shared" si="3"/>
        <v>10</v>
      </c>
    </row>
    <row r="25" spans="1:13">
      <c r="A25" s="100" t="str">
        <f>MID(Page012[[#This Row],[Column5]],SEARCH("(",Page012[[#This Row],[Column5]])+1,SEARCH(")",Page012[[#This Row],[Column5]])-SEARCH("(",Page012[[#This Row],[Column5]])-1)</f>
        <v>3.73</v>
      </c>
      <c r="B25" s="68" t="s">
        <v>329</v>
      </c>
      <c r="C25" s="68" t="s">
        <v>303</v>
      </c>
      <c r="D25" s="68" t="s">
        <v>304</v>
      </c>
      <c r="E25" s="68" t="s">
        <v>331</v>
      </c>
      <c r="F25" s="68" t="s">
        <v>334</v>
      </c>
      <c r="G25" s="68">
        <v>1.62</v>
      </c>
      <c r="H25" s="100" t="str">
        <f>MID(Page012[[#This Row],[Column4]],SEARCH("(",Page012[[#This Row],[Column4]])+1,SEARCH(")",Page012[[#This Row],[Column4]])-SEARCH("(",Page012[[#This Row],[Column4]])-1)</f>
        <v>21.3</v>
      </c>
      <c r="I25" s="68">
        <v>21.3</v>
      </c>
      <c r="J25" s="68">
        <f t="shared" si="1"/>
        <v>0</v>
      </c>
      <c r="K25" s="68">
        <f t="shared" si="0"/>
        <v>0</v>
      </c>
      <c r="L25" s="100">
        <f t="shared" si="2"/>
        <v>-0.42486133646629831</v>
      </c>
      <c r="M25" s="68">
        <f t="shared" si="3"/>
        <v>10</v>
      </c>
    </row>
    <row r="26" spans="1:13">
      <c r="A26" s="100" t="str">
        <f>MID(Page012[[#This Row],[Column5]],SEARCH("(",Page012[[#This Row],[Column5]])+1,SEARCH(")",Page012[[#This Row],[Column5]])-SEARCH("(",Page012[[#This Row],[Column5]])-1)</f>
        <v>4.78</v>
      </c>
      <c r="B26" s="68" t="s">
        <v>329</v>
      </c>
      <c r="C26" s="68" t="s">
        <v>292</v>
      </c>
      <c r="D26" s="68" t="s">
        <v>306</v>
      </c>
      <c r="E26" s="68" t="s">
        <v>331</v>
      </c>
      <c r="F26" s="68" t="s">
        <v>335</v>
      </c>
      <c r="G26" s="68">
        <v>1.95</v>
      </c>
      <c r="H26" s="100" t="str">
        <f>MID(Page012[[#This Row],[Column4]],SEARCH("(",Page012[[#This Row],[Column4]])+1,SEARCH(")",Page012[[#This Row],[Column4]])-SEARCH("(",Page012[[#This Row],[Column4]])-1)</f>
        <v>21.3</v>
      </c>
      <c r="I26" s="68">
        <v>21.3</v>
      </c>
      <c r="J26" s="68">
        <f t="shared" si="1"/>
        <v>0</v>
      </c>
      <c r="K26" s="68">
        <f t="shared" si="0"/>
        <v>0</v>
      </c>
      <c r="L26" s="100">
        <f t="shared" si="2"/>
        <v>-0.42486133646629831</v>
      </c>
      <c r="M26" s="68">
        <f t="shared" si="3"/>
        <v>10</v>
      </c>
    </row>
    <row r="27" spans="1:13">
      <c r="A27" s="100" t="str">
        <f>MID(Page012[[#This Row],[Column5]],SEARCH("(",Page012[[#This Row],[Column5]])+1,SEARCH(")",Page012[[#This Row],[Column5]])-SEARCH("(",Page012[[#This Row],[Column5]])-1)</f>
        <v>7.47</v>
      </c>
      <c r="B27" s="68" t="s">
        <v>329</v>
      </c>
      <c r="C27" s="68" t="s">
        <v>308</v>
      </c>
      <c r="D27" s="68" t="s">
        <v>292</v>
      </c>
      <c r="E27" s="68" t="s">
        <v>331</v>
      </c>
      <c r="F27" s="68" t="s">
        <v>336</v>
      </c>
      <c r="G27" s="68">
        <v>2.5499999999999998</v>
      </c>
      <c r="H27" s="100" t="str">
        <f>MID(Page012[[#This Row],[Column4]],SEARCH("(",Page012[[#This Row],[Column4]])+1,SEARCH(")",Page012[[#This Row],[Column4]])-SEARCH("(",Page012[[#This Row],[Column4]])-1)</f>
        <v>21.3</v>
      </c>
      <c r="I27" s="68">
        <v>21.3</v>
      </c>
      <c r="J27" s="68">
        <f t="shared" si="1"/>
        <v>0</v>
      </c>
      <c r="K27" s="68">
        <f t="shared" si="0"/>
        <v>0</v>
      </c>
      <c r="L27" s="100">
        <f t="shared" si="2"/>
        <v>-0.42486133646629831</v>
      </c>
      <c r="M27" s="68">
        <f t="shared" si="3"/>
        <v>10</v>
      </c>
    </row>
    <row r="28" spans="1:13">
      <c r="A28" s="100" t="str">
        <f>MID(Page012[[#This Row],[Column5]],SEARCH("(",Page012[[#This Row],[Column5]])+1,SEARCH(")",Page012[[#This Row],[Column5]])-SEARCH("(",Page012[[#This Row],[Column5]])-1)</f>
        <v>1.65</v>
      </c>
      <c r="B28" s="68" t="s">
        <v>337</v>
      </c>
      <c r="C28" s="68" t="s">
        <v>292</v>
      </c>
      <c r="D28" s="68" t="s">
        <v>330</v>
      </c>
      <c r="E28" s="68" t="s">
        <v>338</v>
      </c>
      <c r="F28" s="68" t="s">
        <v>312</v>
      </c>
      <c r="G28" s="68">
        <v>1.02</v>
      </c>
      <c r="H28" s="100" t="str">
        <f>MID(Page012[[#This Row],[Column4]],SEARCH("(",Page012[[#This Row],[Column4]])+1,SEARCH(")",Page012[[#This Row],[Column4]])-SEARCH("(",Page012[[#This Row],[Column4]])-1)</f>
        <v>26.7</v>
      </c>
      <c r="I28" s="68">
        <v>26.7</v>
      </c>
      <c r="J28" s="68">
        <f t="shared" si="1"/>
        <v>0</v>
      </c>
      <c r="K28" s="68">
        <f t="shared" si="0"/>
        <v>0</v>
      </c>
      <c r="L28" s="100">
        <f t="shared" si="2"/>
        <v>-0.42486133646629831</v>
      </c>
      <c r="M28" s="68">
        <f t="shared" si="3"/>
        <v>10</v>
      </c>
    </row>
    <row r="29" spans="1:13">
      <c r="A29" s="100" t="str">
        <f>MID(Page012[[#This Row],[Column5]],SEARCH("(",Page012[[#This Row],[Column5]])+1,SEARCH(")",Page012[[#This Row],[Column5]])-SEARCH("(",Page012[[#This Row],[Column5]])-1)</f>
        <v>2.11</v>
      </c>
      <c r="B29" s="68" t="s">
        <v>337</v>
      </c>
      <c r="C29" s="68" t="s">
        <v>292</v>
      </c>
      <c r="D29" s="68" t="s">
        <v>293</v>
      </c>
      <c r="E29" s="68" t="s">
        <v>338</v>
      </c>
      <c r="F29" s="68" t="s">
        <v>332</v>
      </c>
      <c r="G29" s="68">
        <v>1.28</v>
      </c>
      <c r="H29" s="100" t="str">
        <f>MID(Page012[[#This Row],[Column4]],SEARCH("(",Page012[[#This Row],[Column4]])+1,SEARCH(")",Page012[[#This Row],[Column4]])-SEARCH("(",Page012[[#This Row],[Column4]])-1)</f>
        <v>26.7</v>
      </c>
      <c r="I29" s="68">
        <v>26.7</v>
      </c>
      <c r="J29" s="68">
        <f t="shared" si="1"/>
        <v>0</v>
      </c>
      <c r="K29" s="68">
        <f t="shared" si="0"/>
        <v>0</v>
      </c>
      <c r="L29" s="100">
        <f t="shared" si="2"/>
        <v>-0.42486133646629831</v>
      </c>
      <c r="M29" s="68">
        <f t="shared" si="3"/>
        <v>10</v>
      </c>
    </row>
    <row r="30" spans="1:13">
      <c r="A30" s="100" t="str">
        <f>MID(Page012[[#This Row],[Column5]],SEARCH("(",Page012[[#This Row],[Column5]])+1,SEARCH(")",Page012[[#This Row],[Column5]])-SEARCH("(",Page012[[#This Row],[Column5]])-1)</f>
        <v>2.41</v>
      </c>
      <c r="B30" s="68" t="s">
        <v>337</v>
      </c>
      <c r="C30" s="68" t="s">
        <v>292</v>
      </c>
      <c r="D30" s="68" t="s">
        <v>297</v>
      </c>
      <c r="E30" s="68" t="s">
        <v>338</v>
      </c>
      <c r="F30" s="68" t="s">
        <v>305</v>
      </c>
      <c r="G30" s="68">
        <v>1.44</v>
      </c>
      <c r="H30" s="100" t="str">
        <f>MID(Page012[[#This Row],[Column4]],SEARCH("(",Page012[[#This Row],[Column4]])+1,SEARCH(")",Page012[[#This Row],[Column4]])-SEARCH("(",Page012[[#This Row],[Column4]])-1)</f>
        <v>26.7</v>
      </c>
      <c r="I30" s="68">
        <v>26.7</v>
      </c>
      <c r="J30" s="68">
        <f t="shared" si="1"/>
        <v>0</v>
      </c>
      <c r="K30" s="68">
        <f t="shared" si="0"/>
        <v>0</v>
      </c>
      <c r="L30" s="100">
        <f t="shared" si="2"/>
        <v>-0.42486133646629831</v>
      </c>
      <c r="M30" s="68">
        <f t="shared" si="3"/>
        <v>10</v>
      </c>
    </row>
    <row r="31" spans="1:13">
      <c r="A31" s="100" t="str">
        <f>MID(Page012[[#This Row],[Column5]],SEARCH("(",Page012[[#This Row],[Column5]])+1,SEARCH(")",Page012[[#This Row],[Column5]])-SEARCH("(",Page012[[#This Row],[Column5]])-1)</f>
        <v>2.87</v>
      </c>
      <c r="B31" s="68" t="s">
        <v>337</v>
      </c>
      <c r="C31" s="68" t="s">
        <v>300</v>
      </c>
      <c r="D31" s="68" t="s">
        <v>301</v>
      </c>
      <c r="E31" s="68" t="s">
        <v>338</v>
      </c>
      <c r="F31" s="68" t="s">
        <v>339</v>
      </c>
      <c r="G31" s="68">
        <v>1.69</v>
      </c>
      <c r="H31" s="100" t="str">
        <f>MID(Page012[[#This Row],[Column4]],SEARCH("(",Page012[[#This Row],[Column4]])+1,SEARCH(")",Page012[[#This Row],[Column4]])-SEARCH("(",Page012[[#This Row],[Column4]])-1)</f>
        <v>26.7</v>
      </c>
      <c r="I31" s="68">
        <v>26.7</v>
      </c>
      <c r="J31" s="68">
        <f t="shared" si="1"/>
        <v>0</v>
      </c>
      <c r="K31" s="68">
        <f t="shared" si="0"/>
        <v>0</v>
      </c>
      <c r="L31" s="100">
        <f t="shared" si="2"/>
        <v>-0.42486133646629831</v>
      </c>
      <c r="M31" s="68">
        <f t="shared" si="3"/>
        <v>10</v>
      </c>
    </row>
    <row r="32" spans="1:13">
      <c r="A32" s="100" t="str">
        <f>MID(Page012[[#This Row],[Column5]],SEARCH("(",Page012[[#This Row],[Column5]])+1,SEARCH(")",Page012[[#This Row],[Column5]])-SEARCH("(",Page012[[#This Row],[Column5]])-1)</f>
        <v>3.91</v>
      </c>
      <c r="B32" s="68" t="s">
        <v>337</v>
      </c>
      <c r="C32" s="68" t="s">
        <v>303</v>
      </c>
      <c r="D32" s="68" t="s">
        <v>304</v>
      </c>
      <c r="E32" s="68" t="s">
        <v>338</v>
      </c>
      <c r="F32" s="68" t="s">
        <v>340</v>
      </c>
      <c r="G32" s="68">
        <v>2.2000000000000002</v>
      </c>
      <c r="H32" s="100" t="str">
        <f>MID(Page012[[#This Row],[Column4]],SEARCH("(",Page012[[#This Row],[Column4]])+1,SEARCH(")",Page012[[#This Row],[Column4]])-SEARCH("(",Page012[[#This Row],[Column4]])-1)</f>
        <v>26.7</v>
      </c>
      <c r="I32" s="68">
        <v>26.7</v>
      </c>
      <c r="J32" s="68">
        <f t="shared" si="1"/>
        <v>0</v>
      </c>
      <c r="K32" s="68">
        <f t="shared" si="0"/>
        <v>0</v>
      </c>
      <c r="L32" s="100">
        <f t="shared" si="2"/>
        <v>-0.42486133646629831</v>
      </c>
      <c r="M32" s="68">
        <f t="shared" si="3"/>
        <v>10</v>
      </c>
    </row>
    <row r="33" spans="1:13">
      <c r="A33" s="100" t="str">
        <f>MID(Page012[[#This Row],[Column5]],SEARCH("(",Page012[[#This Row],[Column5]])+1,SEARCH(")",Page012[[#This Row],[Column5]])-SEARCH("(",Page012[[#This Row],[Column5]])-1)</f>
        <v>5.56</v>
      </c>
      <c r="B33" s="68" t="s">
        <v>337</v>
      </c>
      <c r="C33" s="68" t="s">
        <v>292</v>
      </c>
      <c r="D33" s="68" t="s">
        <v>306</v>
      </c>
      <c r="E33" s="68" t="s">
        <v>338</v>
      </c>
      <c r="F33" s="68" t="s">
        <v>341</v>
      </c>
      <c r="G33" s="68">
        <v>2.9</v>
      </c>
      <c r="H33" s="100" t="str">
        <f>MID(Page012[[#This Row],[Column4]],SEARCH("(",Page012[[#This Row],[Column4]])+1,SEARCH(")",Page012[[#This Row],[Column4]])-SEARCH("(",Page012[[#This Row],[Column4]])-1)</f>
        <v>26.7</v>
      </c>
      <c r="I33" s="68">
        <v>26.7</v>
      </c>
      <c r="J33" s="68">
        <f t="shared" si="1"/>
        <v>0</v>
      </c>
      <c r="K33" s="68">
        <f t="shared" si="0"/>
        <v>0</v>
      </c>
      <c r="L33" s="100">
        <f t="shared" si="2"/>
        <v>-0.42486133646629831</v>
      </c>
      <c r="M33" s="68">
        <f t="shared" si="3"/>
        <v>10</v>
      </c>
    </row>
    <row r="34" spans="1:13">
      <c r="A34" s="100" t="str">
        <f>MID(Page012[[#This Row],[Column5]],SEARCH("(",Page012[[#This Row],[Column5]])+1,SEARCH(")",Page012[[#This Row],[Column5]])-SEARCH("(",Page012[[#This Row],[Column5]])-1)</f>
        <v>7.82</v>
      </c>
      <c r="B34" s="68" t="s">
        <v>337</v>
      </c>
      <c r="C34" s="68" t="s">
        <v>308</v>
      </c>
      <c r="D34" s="68" t="s">
        <v>292</v>
      </c>
      <c r="E34" s="68" t="s">
        <v>338</v>
      </c>
      <c r="F34" s="68" t="s">
        <v>342</v>
      </c>
      <c r="G34" s="68">
        <v>3.64</v>
      </c>
      <c r="H34" s="100" t="str">
        <f>MID(Page012[[#This Row],[Column4]],SEARCH("(",Page012[[#This Row],[Column4]])+1,SEARCH(")",Page012[[#This Row],[Column4]])-SEARCH("(",Page012[[#This Row],[Column4]])-1)</f>
        <v>26.7</v>
      </c>
      <c r="I34" s="68">
        <v>26.7</v>
      </c>
      <c r="J34" s="68">
        <f t="shared" si="1"/>
        <v>0</v>
      </c>
      <c r="K34" s="68">
        <f t="shared" si="0"/>
        <v>0</v>
      </c>
      <c r="L34" s="100">
        <f t="shared" si="2"/>
        <v>-0.42486133646629831</v>
      </c>
      <c r="M34" s="68">
        <f t="shared" si="3"/>
        <v>10</v>
      </c>
    </row>
    <row r="35" spans="1:13">
      <c r="A35" s="100" t="str">
        <f>MID(Page012[[#This Row],[Column5]],SEARCH("(",Page012[[#This Row],[Column5]])+1,SEARCH(")",Page012[[#This Row],[Column5]])-SEARCH("(",Page012[[#This Row],[Column5]])-1)</f>
        <v>1.65</v>
      </c>
      <c r="B35" s="68" t="s">
        <v>343</v>
      </c>
      <c r="C35" s="68" t="s">
        <v>292</v>
      </c>
      <c r="D35" s="68" t="s">
        <v>330</v>
      </c>
      <c r="E35" s="68" t="s">
        <v>344</v>
      </c>
      <c r="F35" s="68" t="s">
        <v>312</v>
      </c>
      <c r="G35" s="68">
        <v>1.29</v>
      </c>
      <c r="H35" s="100" t="str">
        <f>MID(Page012[[#This Row],[Column4]],SEARCH("(",Page012[[#This Row],[Column4]])+1,SEARCH(")",Page012[[#This Row],[Column4]])-SEARCH("(",Page012[[#This Row],[Column4]])-1)</f>
        <v>33.4</v>
      </c>
      <c r="I35" s="68">
        <v>33.4</v>
      </c>
      <c r="J35" s="68">
        <f t="shared" si="1"/>
        <v>0</v>
      </c>
      <c r="K35" s="68">
        <f t="shared" si="0"/>
        <v>0</v>
      </c>
      <c r="L35" s="100">
        <f t="shared" si="2"/>
        <v>-0.42486133646629831</v>
      </c>
      <c r="M35" s="68">
        <f t="shared" si="3"/>
        <v>10</v>
      </c>
    </row>
    <row r="36" spans="1:13">
      <c r="A36" s="100" t="str">
        <f>MID(Page012[[#This Row],[Column5]],SEARCH("(",Page012[[#This Row],[Column5]])+1,SEARCH(")",Page012[[#This Row],[Column5]])-SEARCH("(",Page012[[#This Row],[Column5]])-1)</f>
        <v>2.77</v>
      </c>
      <c r="B36" s="68" t="s">
        <v>343</v>
      </c>
      <c r="C36" s="68" t="s">
        <v>292</v>
      </c>
      <c r="D36" s="68" t="s">
        <v>293</v>
      </c>
      <c r="E36" s="68" t="s">
        <v>344</v>
      </c>
      <c r="F36" s="68" t="s">
        <v>333</v>
      </c>
      <c r="G36" s="68">
        <v>2.09</v>
      </c>
      <c r="H36" s="100" t="str">
        <f>MID(Page012[[#This Row],[Column4]],SEARCH("(",Page012[[#This Row],[Column4]])+1,SEARCH(")",Page012[[#This Row],[Column4]])-SEARCH("(",Page012[[#This Row],[Column4]])-1)</f>
        <v>33.4</v>
      </c>
      <c r="I36" s="68">
        <v>33.4</v>
      </c>
      <c r="J36" s="68">
        <f t="shared" si="1"/>
        <v>0</v>
      </c>
      <c r="K36" s="68">
        <f t="shared" si="0"/>
        <v>0</v>
      </c>
      <c r="L36" s="100">
        <f t="shared" si="2"/>
        <v>-0.42486133646629831</v>
      </c>
      <c r="M36" s="68">
        <f t="shared" si="3"/>
        <v>10</v>
      </c>
    </row>
    <row r="37" spans="1:13">
      <c r="A37" s="100" t="str">
        <f>MID(Page012[[#This Row],[Column5]],SEARCH("(",Page012[[#This Row],[Column5]])+1,SEARCH(")",Page012[[#This Row],[Column5]])-SEARCH("(",Page012[[#This Row],[Column5]])-1)</f>
        <v>2.90</v>
      </c>
      <c r="B37" s="68" t="s">
        <v>343</v>
      </c>
      <c r="C37" s="68" t="s">
        <v>292</v>
      </c>
      <c r="D37" s="68" t="s">
        <v>297</v>
      </c>
      <c r="E37" s="68" t="s">
        <v>344</v>
      </c>
      <c r="F37" s="68" t="s">
        <v>345</v>
      </c>
      <c r="G37" s="68">
        <v>2.1800000000000002</v>
      </c>
      <c r="H37" s="100" t="str">
        <f>MID(Page012[[#This Row],[Column4]],SEARCH("(",Page012[[#This Row],[Column4]])+1,SEARCH(")",Page012[[#This Row],[Column4]])-SEARCH("(",Page012[[#This Row],[Column4]])-1)</f>
        <v>33.4</v>
      </c>
      <c r="I37" s="68">
        <v>33.4</v>
      </c>
      <c r="J37" s="68">
        <f t="shared" si="1"/>
        <v>0</v>
      </c>
      <c r="K37" s="68">
        <f t="shared" si="0"/>
        <v>0</v>
      </c>
      <c r="L37" s="100">
        <f t="shared" si="2"/>
        <v>-0.42486133646629831</v>
      </c>
      <c r="M37" s="68">
        <f t="shared" si="3"/>
        <v>10</v>
      </c>
    </row>
    <row r="38" spans="1:13">
      <c r="A38" s="100" t="str">
        <f>MID(Page012[[#This Row],[Column5]],SEARCH("(",Page012[[#This Row],[Column5]])+1,SEARCH(")",Page012[[#This Row],[Column5]])-SEARCH("(",Page012[[#This Row],[Column5]])-1)</f>
        <v>3.38</v>
      </c>
      <c r="B38" s="68" t="s">
        <v>343</v>
      </c>
      <c r="C38" s="68" t="s">
        <v>300</v>
      </c>
      <c r="D38" s="68" t="s">
        <v>301</v>
      </c>
      <c r="E38" s="68" t="s">
        <v>344</v>
      </c>
      <c r="F38" s="68" t="s">
        <v>346</v>
      </c>
      <c r="G38" s="68">
        <v>2.5</v>
      </c>
      <c r="H38" s="100" t="str">
        <f>MID(Page012[[#This Row],[Column4]],SEARCH("(",Page012[[#This Row],[Column4]])+1,SEARCH(")",Page012[[#This Row],[Column4]])-SEARCH("(",Page012[[#This Row],[Column4]])-1)</f>
        <v>33.4</v>
      </c>
      <c r="I38" s="68">
        <v>33.4</v>
      </c>
      <c r="J38" s="68">
        <f t="shared" si="1"/>
        <v>0</v>
      </c>
      <c r="K38" s="68">
        <f t="shared" si="0"/>
        <v>0</v>
      </c>
      <c r="L38" s="100">
        <f t="shared" si="2"/>
        <v>-0.42486133646629831</v>
      </c>
      <c r="M38" s="68">
        <f t="shared" si="3"/>
        <v>10</v>
      </c>
    </row>
    <row r="39" spans="1:13">
      <c r="A39" s="100" t="str">
        <f>MID(Page012[[#This Row],[Column5]],SEARCH("(",Page012[[#This Row],[Column5]])+1,SEARCH(")",Page012[[#This Row],[Column5]])-SEARCH("(",Page012[[#This Row],[Column5]])-1)</f>
        <v>4.55</v>
      </c>
      <c r="B39" s="68" t="s">
        <v>343</v>
      </c>
      <c r="C39" s="68" t="s">
        <v>303</v>
      </c>
      <c r="D39" s="68" t="s">
        <v>304</v>
      </c>
      <c r="E39" s="68" t="s">
        <v>344</v>
      </c>
      <c r="F39" s="68" t="s">
        <v>347</v>
      </c>
      <c r="G39" s="68">
        <v>3.24</v>
      </c>
      <c r="H39" s="100" t="str">
        <f>MID(Page012[[#This Row],[Column4]],SEARCH("(",Page012[[#This Row],[Column4]])+1,SEARCH(")",Page012[[#This Row],[Column4]])-SEARCH("(",Page012[[#This Row],[Column4]])-1)</f>
        <v>33.4</v>
      </c>
      <c r="I39" s="68">
        <v>33.4</v>
      </c>
      <c r="J39" s="68">
        <f t="shared" si="1"/>
        <v>0</v>
      </c>
      <c r="K39" s="68">
        <f t="shared" si="0"/>
        <v>0</v>
      </c>
      <c r="L39" s="100">
        <f t="shared" si="2"/>
        <v>-0.42486133646629831</v>
      </c>
      <c r="M39" s="68">
        <f t="shared" si="3"/>
        <v>10</v>
      </c>
    </row>
    <row r="40" spans="1:13">
      <c r="A40" s="100" t="str">
        <f>MID(Page012[[#This Row],[Column5]],SEARCH("(",Page012[[#This Row],[Column5]])+1,SEARCH(")",Page012[[#This Row],[Column5]])-SEARCH("(",Page012[[#This Row],[Column5]])-1)</f>
        <v>6.35</v>
      </c>
      <c r="B40" s="68" t="s">
        <v>343</v>
      </c>
      <c r="C40" s="68" t="s">
        <v>292</v>
      </c>
      <c r="D40" s="68" t="s">
        <v>306</v>
      </c>
      <c r="E40" s="68" t="s">
        <v>344</v>
      </c>
      <c r="F40" s="68" t="s">
        <v>348</v>
      </c>
      <c r="G40" s="68">
        <v>4.24</v>
      </c>
      <c r="H40" s="100" t="str">
        <f>MID(Page012[[#This Row],[Column4]],SEARCH("(",Page012[[#This Row],[Column4]])+1,SEARCH(")",Page012[[#This Row],[Column4]])-SEARCH("(",Page012[[#This Row],[Column4]])-1)</f>
        <v>33.4</v>
      </c>
      <c r="I40" s="68">
        <v>33.4</v>
      </c>
      <c r="J40" s="68">
        <f t="shared" si="1"/>
        <v>0</v>
      </c>
      <c r="K40" s="68">
        <f t="shared" si="0"/>
        <v>0</v>
      </c>
      <c r="L40" s="100">
        <f t="shared" si="2"/>
        <v>-0.42486133646629831</v>
      </c>
      <c r="M40" s="68">
        <f t="shared" si="3"/>
        <v>10</v>
      </c>
    </row>
    <row r="41" spans="1:13">
      <c r="A41" s="100" t="str">
        <f>MID(Page012[[#This Row],[Column5]],SEARCH("(",Page012[[#This Row],[Column5]])+1,SEARCH(")",Page012[[#This Row],[Column5]])-SEARCH("(",Page012[[#This Row],[Column5]])-1)</f>
        <v>9.09</v>
      </c>
      <c r="B41" s="68" t="s">
        <v>343</v>
      </c>
      <c r="C41" s="68" t="s">
        <v>308</v>
      </c>
      <c r="D41" s="68" t="s">
        <v>292</v>
      </c>
      <c r="E41" s="68" t="s">
        <v>344</v>
      </c>
      <c r="F41" s="68" t="s">
        <v>349</v>
      </c>
      <c r="G41" s="68">
        <v>5.45</v>
      </c>
      <c r="H41" s="100" t="str">
        <f>MID(Page012[[#This Row],[Column4]],SEARCH("(",Page012[[#This Row],[Column4]])+1,SEARCH(")",Page012[[#This Row],[Column4]])-SEARCH("(",Page012[[#This Row],[Column4]])-1)</f>
        <v>33.4</v>
      </c>
      <c r="I41" s="68">
        <v>33.4</v>
      </c>
      <c r="J41" s="68">
        <f t="shared" si="1"/>
        <v>0</v>
      </c>
      <c r="K41" s="68">
        <f t="shared" si="0"/>
        <v>0</v>
      </c>
      <c r="L41" s="100">
        <f t="shared" si="2"/>
        <v>-0.42486133646629831</v>
      </c>
      <c r="M41" s="68">
        <f t="shared" si="3"/>
        <v>10</v>
      </c>
    </row>
    <row r="42" spans="1:13">
      <c r="A42" s="100" t="str">
        <f>MID(Page012[[#This Row],[Column5]],SEARCH("(",Page012[[#This Row],[Column5]])+1,SEARCH(")",Page012[[#This Row],[Column5]])-SEARCH("(",Page012[[#This Row],[Column5]])-1)</f>
        <v>1.65</v>
      </c>
      <c r="B42" s="68" t="s">
        <v>350</v>
      </c>
      <c r="C42" s="68" t="s">
        <v>292</v>
      </c>
      <c r="D42" s="68" t="s">
        <v>330</v>
      </c>
      <c r="E42" s="68" t="s">
        <v>351</v>
      </c>
      <c r="F42" s="68" t="s">
        <v>312</v>
      </c>
      <c r="G42" s="68">
        <v>1.65</v>
      </c>
      <c r="H42" s="100" t="str">
        <f>MID(Page012[[#This Row],[Column4]],SEARCH("(",Page012[[#This Row],[Column4]])+1,SEARCH(")",Page012[[#This Row],[Column4]])-SEARCH("(",Page012[[#This Row],[Column4]])-1)</f>
        <v>42.2</v>
      </c>
      <c r="I42" s="68">
        <v>42.2</v>
      </c>
      <c r="J42" s="68">
        <f t="shared" si="1"/>
        <v>0</v>
      </c>
      <c r="K42" s="68">
        <f t="shared" si="0"/>
        <v>0</v>
      </c>
      <c r="L42" s="100">
        <f t="shared" si="2"/>
        <v>-0.42486133646629831</v>
      </c>
      <c r="M42" s="68">
        <f t="shared" si="3"/>
        <v>10</v>
      </c>
    </row>
    <row r="43" spans="1:13">
      <c r="A43" s="100" t="str">
        <f>MID(Page012[[#This Row],[Column5]],SEARCH("(",Page012[[#This Row],[Column5]])+1,SEARCH(")",Page012[[#This Row],[Column5]])-SEARCH("(",Page012[[#This Row],[Column5]])-1)</f>
        <v>2.77</v>
      </c>
      <c r="B43" s="68" t="s">
        <v>350</v>
      </c>
      <c r="C43" s="68" t="s">
        <v>292</v>
      </c>
      <c r="D43" s="68" t="s">
        <v>293</v>
      </c>
      <c r="E43" s="68" t="s">
        <v>351</v>
      </c>
      <c r="F43" s="68" t="s">
        <v>333</v>
      </c>
      <c r="G43" s="68">
        <v>2.69</v>
      </c>
      <c r="H43" s="100" t="str">
        <f>MID(Page012[[#This Row],[Column4]],SEARCH("(",Page012[[#This Row],[Column4]])+1,SEARCH(")",Page012[[#This Row],[Column4]])-SEARCH("(",Page012[[#This Row],[Column4]])-1)</f>
        <v>42.2</v>
      </c>
      <c r="I43" s="68">
        <v>42.2</v>
      </c>
      <c r="J43" s="68">
        <f t="shared" si="1"/>
        <v>0</v>
      </c>
      <c r="K43" s="68">
        <f t="shared" si="0"/>
        <v>0</v>
      </c>
      <c r="L43" s="100">
        <f t="shared" si="2"/>
        <v>-0.42486133646629831</v>
      </c>
      <c r="M43" s="68">
        <f t="shared" si="3"/>
        <v>10</v>
      </c>
    </row>
    <row r="44" spans="1:13">
      <c r="A44" s="100" t="str">
        <f>MID(Page012[[#This Row],[Column5]],SEARCH("(",Page012[[#This Row],[Column5]])+1,SEARCH(")",Page012[[#This Row],[Column5]])-SEARCH("(",Page012[[#This Row],[Column5]])-1)</f>
        <v>2.97</v>
      </c>
      <c r="B44" s="68" t="s">
        <v>350</v>
      </c>
      <c r="C44" s="68" t="s">
        <v>292</v>
      </c>
      <c r="D44" s="68" t="s">
        <v>297</v>
      </c>
      <c r="E44" s="68" t="s">
        <v>351</v>
      </c>
      <c r="F44" s="68" t="s">
        <v>352</v>
      </c>
      <c r="G44" s="68">
        <v>2.87</v>
      </c>
      <c r="H44" s="100" t="str">
        <f>MID(Page012[[#This Row],[Column4]],SEARCH("(",Page012[[#This Row],[Column4]])+1,SEARCH(")",Page012[[#This Row],[Column4]])-SEARCH("(",Page012[[#This Row],[Column4]])-1)</f>
        <v>42.2</v>
      </c>
      <c r="I44" s="68">
        <v>42.2</v>
      </c>
      <c r="J44" s="68">
        <f t="shared" si="1"/>
        <v>0</v>
      </c>
      <c r="K44" s="68">
        <f t="shared" si="0"/>
        <v>0</v>
      </c>
      <c r="L44" s="100">
        <f t="shared" si="2"/>
        <v>-0.42486133646629831</v>
      </c>
      <c r="M44" s="68">
        <f t="shared" si="3"/>
        <v>10</v>
      </c>
    </row>
    <row r="45" spans="1:13">
      <c r="A45" s="100" t="str">
        <f>MID(Page012[[#This Row],[Column5]],SEARCH("(",Page012[[#This Row],[Column5]])+1,SEARCH(")",Page012[[#This Row],[Column5]])-SEARCH("(",Page012[[#This Row],[Column5]])-1)</f>
        <v>3.56</v>
      </c>
      <c r="B45" s="68" t="s">
        <v>350</v>
      </c>
      <c r="C45" s="68" t="s">
        <v>300</v>
      </c>
      <c r="D45" s="68" t="s">
        <v>301</v>
      </c>
      <c r="E45" s="68" t="s">
        <v>351</v>
      </c>
      <c r="F45" s="68" t="s">
        <v>353</v>
      </c>
      <c r="G45" s="68">
        <v>3.39</v>
      </c>
      <c r="H45" s="100" t="str">
        <f>MID(Page012[[#This Row],[Column4]],SEARCH("(",Page012[[#This Row],[Column4]])+1,SEARCH(")",Page012[[#This Row],[Column4]])-SEARCH("(",Page012[[#This Row],[Column4]])-1)</f>
        <v>42.2</v>
      </c>
      <c r="I45" s="68">
        <v>42.2</v>
      </c>
      <c r="J45" s="68">
        <f t="shared" si="1"/>
        <v>0</v>
      </c>
      <c r="K45" s="68">
        <f t="shared" si="0"/>
        <v>0</v>
      </c>
      <c r="L45" s="100">
        <f t="shared" si="2"/>
        <v>-0.42486133646629831</v>
      </c>
      <c r="M45" s="68">
        <f t="shared" si="3"/>
        <v>10</v>
      </c>
    </row>
    <row r="46" spans="1:13">
      <c r="A46" s="100" t="str">
        <f>MID(Page012[[#This Row],[Column5]],SEARCH("(",Page012[[#This Row],[Column5]])+1,SEARCH(")",Page012[[#This Row],[Column5]])-SEARCH("(",Page012[[#This Row],[Column5]])-1)</f>
        <v>4.85</v>
      </c>
      <c r="B46" s="68" t="s">
        <v>350</v>
      </c>
      <c r="C46" s="68" t="s">
        <v>303</v>
      </c>
      <c r="D46" s="68" t="s">
        <v>304</v>
      </c>
      <c r="E46" s="68" t="s">
        <v>351</v>
      </c>
      <c r="F46" s="68" t="s">
        <v>354</v>
      </c>
      <c r="G46" s="68">
        <v>4.47</v>
      </c>
      <c r="H46" s="100" t="str">
        <f>MID(Page012[[#This Row],[Column4]],SEARCH("(",Page012[[#This Row],[Column4]])+1,SEARCH(")",Page012[[#This Row],[Column4]])-SEARCH("(",Page012[[#This Row],[Column4]])-1)</f>
        <v>42.2</v>
      </c>
      <c r="I46" s="68">
        <v>42.2</v>
      </c>
      <c r="J46" s="68">
        <f t="shared" si="1"/>
        <v>0</v>
      </c>
      <c r="K46" s="68">
        <f t="shared" si="0"/>
        <v>0</v>
      </c>
      <c r="L46" s="100">
        <f t="shared" si="2"/>
        <v>-0.42486133646629831</v>
      </c>
      <c r="M46" s="68">
        <f t="shared" si="3"/>
        <v>10</v>
      </c>
    </row>
    <row r="47" spans="1:13">
      <c r="A47" s="100" t="str">
        <f>MID(Page012[[#This Row],[Column5]],SEARCH("(",Page012[[#This Row],[Column5]])+1,SEARCH(")",Page012[[#This Row],[Column5]])-SEARCH("(",Page012[[#This Row],[Column5]])-1)</f>
        <v>6.35</v>
      </c>
      <c r="B47" s="68" t="s">
        <v>350</v>
      </c>
      <c r="C47" s="68" t="s">
        <v>292</v>
      </c>
      <c r="D47" s="68" t="s">
        <v>306</v>
      </c>
      <c r="E47" s="68" t="s">
        <v>351</v>
      </c>
      <c r="F47" s="68" t="s">
        <v>348</v>
      </c>
      <c r="G47" s="68">
        <v>5.61</v>
      </c>
      <c r="H47" s="100" t="str">
        <f>MID(Page012[[#This Row],[Column4]],SEARCH("(",Page012[[#This Row],[Column4]])+1,SEARCH(")",Page012[[#This Row],[Column4]])-SEARCH("(",Page012[[#This Row],[Column4]])-1)</f>
        <v>42.2</v>
      </c>
      <c r="I47" s="68">
        <v>42.2</v>
      </c>
      <c r="J47" s="68">
        <f t="shared" si="1"/>
        <v>0</v>
      </c>
      <c r="K47" s="68">
        <f t="shared" si="0"/>
        <v>0</v>
      </c>
      <c r="L47" s="100">
        <f t="shared" si="2"/>
        <v>-0.42486133646629831</v>
      </c>
      <c r="M47" s="68">
        <f t="shared" si="3"/>
        <v>10</v>
      </c>
    </row>
    <row r="48" spans="1:13">
      <c r="A48" s="100" t="str">
        <f>MID(Page012[[#This Row],[Column5]],SEARCH("(",Page012[[#This Row],[Column5]])+1,SEARCH(")",Page012[[#This Row],[Column5]])-SEARCH("(",Page012[[#This Row],[Column5]])-1)</f>
        <v>9.70</v>
      </c>
      <c r="B48" s="68" t="s">
        <v>350</v>
      </c>
      <c r="C48" s="68" t="s">
        <v>308</v>
      </c>
      <c r="D48" s="68" t="s">
        <v>292</v>
      </c>
      <c r="E48" s="68" t="s">
        <v>351</v>
      </c>
      <c r="F48" s="68" t="s">
        <v>355</v>
      </c>
      <c r="G48" s="68">
        <v>7.77</v>
      </c>
      <c r="H48" s="100" t="str">
        <f>MID(Page012[[#This Row],[Column4]],SEARCH("(",Page012[[#This Row],[Column4]])+1,SEARCH(")",Page012[[#This Row],[Column4]])-SEARCH("(",Page012[[#This Row],[Column4]])-1)</f>
        <v>42.2</v>
      </c>
      <c r="I48" s="68">
        <v>42.2</v>
      </c>
      <c r="J48" s="68">
        <f t="shared" si="1"/>
        <v>0</v>
      </c>
      <c r="K48" s="68">
        <f t="shared" si="0"/>
        <v>0</v>
      </c>
      <c r="L48" s="100">
        <f t="shared" si="2"/>
        <v>-0.42486133646629831</v>
      </c>
      <c r="M48" s="68">
        <f t="shared" si="3"/>
        <v>10</v>
      </c>
    </row>
    <row r="49" spans="1:13">
      <c r="A49" s="100" t="str">
        <f>MID(Page012[[#This Row],[Column5]],SEARCH("(",Page012[[#This Row],[Column5]])+1,SEARCH(")",Page012[[#This Row],[Column5]])-SEARCH("(",Page012[[#This Row],[Column5]])-1)</f>
        <v>1.65</v>
      </c>
      <c r="B49" s="68" t="s">
        <v>356</v>
      </c>
      <c r="C49" s="68" t="s">
        <v>292</v>
      </c>
      <c r="D49" s="68" t="s">
        <v>330</v>
      </c>
      <c r="E49" s="68" t="s">
        <v>357</v>
      </c>
      <c r="F49" s="68" t="s">
        <v>312</v>
      </c>
      <c r="G49" s="68">
        <v>1.9</v>
      </c>
      <c r="H49" s="100" t="str">
        <f>MID(Page012[[#This Row],[Column4]],SEARCH("(",Page012[[#This Row],[Column4]])+1,SEARCH(")",Page012[[#This Row],[Column4]])-SEARCH("(",Page012[[#This Row],[Column4]])-1)</f>
        <v>48.3</v>
      </c>
      <c r="I49" s="68">
        <v>48.3</v>
      </c>
      <c r="J49" s="68">
        <f t="shared" si="1"/>
        <v>0</v>
      </c>
      <c r="K49" s="68">
        <f t="shared" si="0"/>
        <v>0</v>
      </c>
      <c r="L49" s="100">
        <f t="shared" si="2"/>
        <v>-0.42486133646629831</v>
      </c>
      <c r="M49" s="68">
        <f t="shared" si="3"/>
        <v>10</v>
      </c>
    </row>
    <row r="50" spans="1:13">
      <c r="A50" s="100" t="str">
        <f>MID(Page012[[#This Row],[Column5]],SEARCH("(",Page012[[#This Row],[Column5]])+1,SEARCH(")",Page012[[#This Row],[Column5]])-SEARCH("(",Page012[[#This Row],[Column5]])-1)</f>
        <v>2.77</v>
      </c>
      <c r="B50" s="68" t="s">
        <v>356</v>
      </c>
      <c r="C50" s="68" t="s">
        <v>292</v>
      </c>
      <c r="D50" s="68" t="s">
        <v>293</v>
      </c>
      <c r="E50" s="68" t="s">
        <v>357</v>
      </c>
      <c r="F50" s="68" t="s">
        <v>333</v>
      </c>
      <c r="G50" s="68">
        <v>3.11</v>
      </c>
      <c r="H50" s="100" t="str">
        <f>MID(Page012[[#This Row],[Column4]],SEARCH("(",Page012[[#This Row],[Column4]])+1,SEARCH(")",Page012[[#This Row],[Column4]])-SEARCH("(",Page012[[#This Row],[Column4]])-1)</f>
        <v>48.3</v>
      </c>
      <c r="I50" s="68">
        <v>48.3</v>
      </c>
      <c r="J50" s="68">
        <f t="shared" si="1"/>
        <v>0</v>
      </c>
      <c r="K50" s="68">
        <f t="shared" si="0"/>
        <v>0</v>
      </c>
      <c r="L50" s="100">
        <f t="shared" si="2"/>
        <v>-0.42486133646629831</v>
      </c>
      <c r="M50" s="68">
        <f t="shared" si="3"/>
        <v>10</v>
      </c>
    </row>
    <row r="51" spans="1:13">
      <c r="A51" s="100" t="str">
        <f>MID(Page012[[#This Row],[Column5]],SEARCH("(",Page012[[#This Row],[Column5]])+1,SEARCH(")",Page012[[#This Row],[Column5]])-SEARCH("(",Page012[[#This Row],[Column5]])-1)</f>
        <v>3.18</v>
      </c>
      <c r="B51" s="68" t="s">
        <v>356</v>
      </c>
      <c r="C51" s="68" t="s">
        <v>292</v>
      </c>
      <c r="D51" s="68" t="s">
        <v>297</v>
      </c>
      <c r="E51" s="68" t="s">
        <v>357</v>
      </c>
      <c r="F51" s="68" t="s">
        <v>358</v>
      </c>
      <c r="G51" s="68">
        <v>3.53</v>
      </c>
      <c r="H51" s="100" t="str">
        <f>MID(Page012[[#This Row],[Column4]],SEARCH("(",Page012[[#This Row],[Column4]])+1,SEARCH(")",Page012[[#This Row],[Column4]])-SEARCH("(",Page012[[#This Row],[Column4]])-1)</f>
        <v>48.3</v>
      </c>
      <c r="I51" s="68">
        <v>48.3</v>
      </c>
      <c r="J51" s="68">
        <f t="shared" si="1"/>
        <v>0</v>
      </c>
      <c r="K51" s="68">
        <f t="shared" si="0"/>
        <v>0</v>
      </c>
      <c r="L51" s="100">
        <f t="shared" si="2"/>
        <v>-0.42486133646629831</v>
      </c>
      <c r="M51" s="68">
        <f t="shared" si="3"/>
        <v>10</v>
      </c>
    </row>
    <row r="52" spans="1:13">
      <c r="A52" s="100" t="str">
        <f>MID(Page012[[#This Row],[Column5]],SEARCH("(",Page012[[#This Row],[Column5]])+1,SEARCH(")",Page012[[#This Row],[Column5]])-SEARCH("(",Page012[[#This Row],[Column5]])-1)</f>
        <v>3.68</v>
      </c>
      <c r="B52" s="68" t="s">
        <v>356</v>
      </c>
      <c r="C52" s="68" t="s">
        <v>300</v>
      </c>
      <c r="D52" s="68" t="s">
        <v>301</v>
      </c>
      <c r="E52" s="68" t="s">
        <v>357</v>
      </c>
      <c r="F52" s="68" t="s">
        <v>318</v>
      </c>
      <c r="G52" s="68">
        <v>4.05</v>
      </c>
      <c r="H52" s="100" t="str">
        <f>MID(Page012[[#This Row],[Column4]],SEARCH("(",Page012[[#This Row],[Column4]])+1,SEARCH(")",Page012[[#This Row],[Column4]])-SEARCH("(",Page012[[#This Row],[Column4]])-1)</f>
        <v>48.3</v>
      </c>
      <c r="I52" s="68">
        <v>48.3</v>
      </c>
      <c r="J52" s="68">
        <f t="shared" si="1"/>
        <v>0</v>
      </c>
      <c r="K52" s="68">
        <f t="shared" si="0"/>
        <v>0</v>
      </c>
      <c r="L52" s="100">
        <f t="shared" si="2"/>
        <v>-0.42486133646629831</v>
      </c>
      <c r="M52" s="68">
        <f t="shared" si="3"/>
        <v>10</v>
      </c>
    </row>
    <row r="53" spans="1:13">
      <c r="A53" s="100" t="str">
        <f>MID(Page012[[#This Row],[Column5]],SEARCH("(",Page012[[#This Row],[Column5]])+1,SEARCH(")",Page012[[#This Row],[Column5]])-SEARCH("(",Page012[[#This Row],[Column5]])-1)</f>
        <v>5.08</v>
      </c>
      <c r="B53" s="68" t="s">
        <v>356</v>
      </c>
      <c r="C53" s="68" t="s">
        <v>303</v>
      </c>
      <c r="D53" s="68" t="s">
        <v>304</v>
      </c>
      <c r="E53" s="68" t="s">
        <v>357</v>
      </c>
      <c r="F53" s="68" t="s">
        <v>359</v>
      </c>
      <c r="G53" s="68">
        <v>5.41</v>
      </c>
      <c r="H53" s="100" t="str">
        <f>MID(Page012[[#This Row],[Column4]],SEARCH("(",Page012[[#This Row],[Column4]])+1,SEARCH(")",Page012[[#This Row],[Column4]])-SEARCH("(",Page012[[#This Row],[Column4]])-1)</f>
        <v>48.3</v>
      </c>
      <c r="I53" s="68">
        <v>48.3</v>
      </c>
      <c r="J53" s="68">
        <f t="shared" si="1"/>
        <v>0</v>
      </c>
      <c r="K53" s="68">
        <f t="shared" si="0"/>
        <v>0</v>
      </c>
      <c r="L53" s="100">
        <f t="shared" si="2"/>
        <v>-0.42486133646629831</v>
      </c>
      <c r="M53" s="68">
        <f t="shared" si="3"/>
        <v>10</v>
      </c>
    </row>
    <row r="54" spans="1:13">
      <c r="A54" s="100" t="str">
        <f>MID(Page012[[#This Row],[Column5]],SEARCH("(",Page012[[#This Row],[Column5]])+1,SEARCH(")",Page012[[#This Row],[Column5]])-SEARCH("(",Page012[[#This Row],[Column5]])-1)</f>
        <v>7.14</v>
      </c>
      <c r="B54" s="68" t="s">
        <v>356</v>
      </c>
      <c r="C54" s="68" t="s">
        <v>292</v>
      </c>
      <c r="D54" s="68" t="s">
        <v>306</v>
      </c>
      <c r="E54" s="68" t="s">
        <v>357</v>
      </c>
      <c r="F54" s="68" t="s">
        <v>360</v>
      </c>
      <c r="G54" s="68">
        <v>7.25</v>
      </c>
      <c r="H54" s="100" t="str">
        <f>MID(Page012[[#This Row],[Column4]],SEARCH("(",Page012[[#This Row],[Column4]])+1,SEARCH(")",Page012[[#This Row],[Column4]])-SEARCH("(",Page012[[#This Row],[Column4]])-1)</f>
        <v>48.3</v>
      </c>
      <c r="I54" s="68">
        <v>48.3</v>
      </c>
      <c r="J54" s="68">
        <f t="shared" si="1"/>
        <v>0</v>
      </c>
      <c r="K54" s="68">
        <f t="shared" si="0"/>
        <v>0</v>
      </c>
      <c r="L54" s="100">
        <f t="shared" si="2"/>
        <v>-0.42486133646629831</v>
      </c>
      <c r="M54" s="68">
        <f t="shared" si="3"/>
        <v>10</v>
      </c>
    </row>
    <row r="55" spans="1:13">
      <c r="A55" s="100" t="str">
        <f>MID(Page012[[#This Row],[Column5]],SEARCH("(",Page012[[#This Row],[Column5]])+1,SEARCH(")",Page012[[#This Row],[Column5]])-SEARCH("(",Page012[[#This Row],[Column5]])-1)</f>
        <v>10.15</v>
      </c>
      <c r="B55" s="68" t="s">
        <v>356</v>
      </c>
      <c r="C55" s="68" t="s">
        <v>308</v>
      </c>
      <c r="D55" s="68" t="s">
        <v>292</v>
      </c>
      <c r="E55" s="68" t="s">
        <v>357</v>
      </c>
      <c r="F55" s="68" t="s">
        <v>361</v>
      </c>
      <c r="G55" s="68">
        <v>9.5500000000000007</v>
      </c>
      <c r="H55" s="100" t="str">
        <f>MID(Page012[[#This Row],[Column4]],SEARCH("(",Page012[[#This Row],[Column4]])+1,SEARCH(")",Page012[[#This Row],[Column4]])-SEARCH("(",Page012[[#This Row],[Column4]])-1)</f>
        <v>48.3</v>
      </c>
      <c r="I55" s="68">
        <v>48.3</v>
      </c>
      <c r="J55" s="68">
        <f t="shared" si="1"/>
        <v>0</v>
      </c>
      <c r="K55" s="68">
        <f t="shared" si="0"/>
        <v>0</v>
      </c>
      <c r="L55" s="100">
        <f t="shared" si="2"/>
        <v>-0.42486133646629831</v>
      </c>
      <c r="M55" s="68">
        <f t="shared" si="3"/>
        <v>10</v>
      </c>
    </row>
    <row r="56" spans="1:13">
      <c r="A56" s="100" t="str">
        <f>MID(Page012[[#This Row],[Column5]],SEARCH("(",Page012[[#This Row],[Column5]])+1,SEARCH(")",Page012[[#This Row],[Column5]])-SEARCH("(",Page012[[#This Row],[Column5]])-1)</f>
        <v>1.65</v>
      </c>
      <c r="B56" s="68" t="s">
        <v>362</v>
      </c>
      <c r="C56" s="68" t="s">
        <v>292</v>
      </c>
      <c r="D56" s="68" t="s">
        <v>330</v>
      </c>
      <c r="E56" s="68" t="s">
        <v>363</v>
      </c>
      <c r="F56" s="68" t="s">
        <v>312</v>
      </c>
      <c r="G56" s="68">
        <v>2.39</v>
      </c>
      <c r="H56" s="100" t="str">
        <f>MID(Page012[[#This Row],[Column4]],SEARCH("(",Page012[[#This Row],[Column4]])+1,SEARCH(")",Page012[[#This Row],[Column4]])-SEARCH("(",Page012[[#This Row],[Column4]])-1)</f>
        <v>60.3</v>
      </c>
      <c r="I56" s="68">
        <v>60.3</v>
      </c>
      <c r="J56" s="68">
        <f t="shared" si="1"/>
        <v>0</v>
      </c>
      <c r="K56" s="68">
        <f t="shared" si="0"/>
        <v>0</v>
      </c>
      <c r="L56" s="100">
        <f t="shared" si="2"/>
        <v>-0.42486133646629831</v>
      </c>
      <c r="M56" s="68">
        <f t="shared" si="3"/>
        <v>10</v>
      </c>
    </row>
    <row r="57" spans="1:13">
      <c r="A57" s="100" t="str">
        <f>MID(Page012[[#This Row],[Column5]],SEARCH("(",Page012[[#This Row],[Column5]])+1,SEARCH(")",Page012[[#This Row],[Column5]])-SEARCH("(",Page012[[#This Row],[Column5]])-1)</f>
        <v>2.11</v>
      </c>
      <c r="B57" s="68" t="s">
        <v>362</v>
      </c>
      <c r="C57" s="68" t="s">
        <v>292</v>
      </c>
      <c r="D57" s="68" t="s">
        <v>292</v>
      </c>
      <c r="E57" s="68" t="s">
        <v>363</v>
      </c>
      <c r="F57" s="68" t="s">
        <v>332</v>
      </c>
      <c r="G57" s="68">
        <v>3.03</v>
      </c>
      <c r="H57" s="100" t="str">
        <f>MID(Page012[[#This Row],[Column4]],SEARCH("(",Page012[[#This Row],[Column4]])+1,SEARCH(")",Page012[[#This Row],[Column4]])-SEARCH("(",Page012[[#This Row],[Column4]])-1)</f>
        <v>60.3</v>
      </c>
      <c r="I57" s="68">
        <v>60.3</v>
      </c>
      <c r="J57" s="68">
        <f t="shared" si="1"/>
        <v>0</v>
      </c>
      <c r="K57" s="68">
        <f t="shared" si="0"/>
        <v>0</v>
      </c>
      <c r="L57" s="100">
        <f t="shared" si="2"/>
        <v>-0.42486133646629831</v>
      </c>
      <c r="M57" s="68">
        <f t="shared" si="3"/>
        <v>10</v>
      </c>
    </row>
    <row r="58" spans="1:13">
      <c r="A58" s="100" t="str">
        <f>MID(Page012[[#This Row],[Column5]],SEARCH("(",Page012[[#This Row],[Column5]])+1,SEARCH(")",Page012[[#This Row],[Column5]])-SEARCH("(",Page012[[#This Row],[Column5]])-1)</f>
        <v>2.77</v>
      </c>
      <c r="B58" s="68" t="s">
        <v>362</v>
      </c>
      <c r="C58" s="68" t="s">
        <v>292</v>
      </c>
      <c r="D58" s="68" t="s">
        <v>293</v>
      </c>
      <c r="E58" s="68" t="s">
        <v>363</v>
      </c>
      <c r="F58" s="68" t="s">
        <v>333</v>
      </c>
      <c r="G58" s="68">
        <v>3.93</v>
      </c>
      <c r="H58" s="100" t="str">
        <f>MID(Page012[[#This Row],[Column4]],SEARCH("(",Page012[[#This Row],[Column4]])+1,SEARCH(")",Page012[[#This Row],[Column4]])-SEARCH("(",Page012[[#This Row],[Column4]])-1)</f>
        <v>60.3</v>
      </c>
      <c r="I58" s="68">
        <v>60.3</v>
      </c>
      <c r="J58" s="68">
        <f t="shared" si="1"/>
        <v>0</v>
      </c>
      <c r="K58" s="68">
        <f t="shared" si="0"/>
        <v>0</v>
      </c>
      <c r="L58" s="100">
        <f t="shared" si="2"/>
        <v>-0.42486133646629831</v>
      </c>
      <c r="M58" s="68">
        <f t="shared" si="3"/>
        <v>10</v>
      </c>
    </row>
    <row r="59" spans="1:13">
      <c r="A59" s="100" t="str">
        <f>MID(Page012[[#This Row],[Column5]],SEARCH("(",Page012[[#This Row],[Column5]])+1,SEARCH(")",Page012[[#This Row],[Column5]])-SEARCH("(",Page012[[#This Row],[Column5]])-1)</f>
        <v>3.18</v>
      </c>
      <c r="B59" s="68" t="s">
        <v>362</v>
      </c>
      <c r="C59" s="68" t="s">
        <v>292</v>
      </c>
      <c r="D59" s="68" t="s">
        <v>297</v>
      </c>
      <c r="E59" s="68" t="s">
        <v>363</v>
      </c>
      <c r="F59" s="68" t="s">
        <v>358</v>
      </c>
      <c r="G59" s="68">
        <v>4.4800000000000004</v>
      </c>
      <c r="H59" s="100" t="str">
        <f>MID(Page012[[#This Row],[Column4]],SEARCH("(",Page012[[#This Row],[Column4]])+1,SEARCH(")",Page012[[#This Row],[Column4]])-SEARCH("(",Page012[[#This Row],[Column4]])-1)</f>
        <v>60.3</v>
      </c>
      <c r="I59" s="68">
        <v>60.3</v>
      </c>
      <c r="J59" s="68">
        <f t="shared" si="1"/>
        <v>0</v>
      </c>
      <c r="K59" s="68">
        <f t="shared" si="0"/>
        <v>0</v>
      </c>
      <c r="L59" s="100">
        <f t="shared" si="2"/>
        <v>-0.42486133646629831</v>
      </c>
      <c r="M59" s="68">
        <f t="shared" si="3"/>
        <v>10</v>
      </c>
    </row>
    <row r="60" spans="1:13">
      <c r="A60" s="100" t="str">
        <f>MID(Page012[[#This Row],[Column5]],SEARCH("(",Page012[[#This Row],[Column5]])+1,SEARCH(")",Page012[[#This Row],[Column5]])-SEARCH("(",Page012[[#This Row],[Column5]])-1)</f>
        <v>3.58</v>
      </c>
      <c r="B60" s="68" t="s">
        <v>362</v>
      </c>
      <c r="C60" s="68" t="s">
        <v>292</v>
      </c>
      <c r="D60" s="68" t="s">
        <v>292</v>
      </c>
      <c r="E60" s="68" t="s">
        <v>363</v>
      </c>
      <c r="F60" s="68" t="s">
        <v>364</v>
      </c>
      <c r="G60" s="68">
        <v>5.01</v>
      </c>
      <c r="H60" s="100" t="str">
        <f>MID(Page012[[#This Row],[Column4]],SEARCH("(",Page012[[#This Row],[Column4]])+1,SEARCH(")",Page012[[#This Row],[Column4]])-SEARCH("(",Page012[[#This Row],[Column4]])-1)</f>
        <v>60.3</v>
      </c>
      <c r="I60" s="68">
        <v>60.3</v>
      </c>
      <c r="J60" s="68">
        <f t="shared" si="1"/>
        <v>0</v>
      </c>
      <c r="K60" s="68">
        <f t="shared" si="0"/>
        <v>0</v>
      </c>
      <c r="L60" s="100">
        <f t="shared" si="2"/>
        <v>-0.42486133646629831</v>
      </c>
      <c r="M60" s="68">
        <f t="shared" si="3"/>
        <v>10</v>
      </c>
    </row>
    <row r="61" spans="1:13">
      <c r="A61" s="100" t="str">
        <f>MID(Page012[[#This Row],[Column5]],SEARCH("(",Page012[[#This Row],[Column5]])+1,SEARCH(")",Page012[[#This Row],[Column5]])-SEARCH("(",Page012[[#This Row],[Column5]])-1)</f>
        <v>3.91</v>
      </c>
      <c r="B61" s="68" t="s">
        <v>362</v>
      </c>
      <c r="C61" s="68" t="s">
        <v>300</v>
      </c>
      <c r="D61" s="68" t="s">
        <v>301</v>
      </c>
      <c r="E61" s="68" t="s">
        <v>363</v>
      </c>
      <c r="F61" s="68" t="s">
        <v>340</v>
      </c>
      <c r="G61" s="68">
        <v>5.44</v>
      </c>
      <c r="H61" s="100" t="str">
        <f>MID(Page012[[#This Row],[Column4]],SEARCH("(",Page012[[#This Row],[Column4]])+1,SEARCH(")",Page012[[#This Row],[Column4]])-SEARCH("(",Page012[[#This Row],[Column4]])-1)</f>
        <v>60.3</v>
      </c>
      <c r="I61" s="68">
        <v>60.3</v>
      </c>
      <c r="J61" s="68">
        <f t="shared" si="1"/>
        <v>0</v>
      </c>
      <c r="K61" s="68">
        <f t="shared" si="0"/>
        <v>0</v>
      </c>
      <c r="L61" s="100">
        <f t="shared" si="2"/>
        <v>-0.42486133646629831</v>
      </c>
      <c r="M61" s="68">
        <f t="shared" si="3"/>
        <v>10</v>
      </c>
    </row>
    <row r="62" spans="1:13">
      <c r="A62" s="100" t="str">
        <f>MID(Page012[[#This Row],[Column5]],SEARCH("(",Page012[[#This Row],[Column5]])+1,SEARCH(")",Page012[[#This Row],[Column5]])-SEARCH("(",Page012[[#This Row],[Column5]])-1)</f>
        <v>4.37</v>
      </c>
      <c r="B62" s="68" t="s">
        <v>362</v>
      </c>
      <c r="C62" s="68" t="s">
        <v>292</v>
      </c>
      <c r="D62" s="68" t="s">
        <v>292</v>
      </c>
      <c r="E62" s="68" t="s">
        <v>363</v>
      </c>
      <c r="F62" s="68" t="s">
        <v>365</v>
      </c>
      <c r="G62" s="68">
        <v>6.03</v>
      </c>
      <c r="H62" s="100" t="str">
        <f>MID(Page012[[#This Row],[Column4]],SEARCH("(",Page012[[#This Row],[Column4]])+1,SEARCH(")",Page012[[#This Row],[Column4]])-SEARCH("(",Page012[[#This Row],[Column4]])-1)</f>
        <v>60.3</v>
      </c>
      <c r="I62" s="68">
        <v>60.3</v>
      </c>
      <c r="J62" s="68">
        <f t="shared" si="1"/>
        <v>0</v>
      </c>
      <c r="K62" s="68">
        <f t="shared" si="0"/>
        <v>0</v>
      </c>
      <c r="L62" s="100">
        <f t="shared" si="2"/>
        <v>-0.42486133646629831</v>
      </c>
      <c r="M62" s="68">
        <f t="shared" si="3"/>
        <v>10</v>
      </c>
    </row>
    <row r="63" spans="1:13">
      <c r="A63" s="100" t="str">
        <f>MID(Page012[[#This Row],[Column5]],SEARCH("(",Page012[[#This Row],[Column5]])+1,SEARCH(")",Page012[[#This Row],[Column5]])-SEARCH("(",Page012[[#This Row],[Column5]])-1)</f>
        <v>4.78</v>
      </c>
      <c r="B63" s="68" t="s">
        <v>362</v>
      </c>
      <c r="C63" s="68" t="s">
        <v>292</v>
      </c>
      <c r="D63" s="68" t="s">
        <v>292</v>
      </c>
      <c r="E63" s="68" t="s">
        <v>363</v>
      </c>
      <c r="F63" s="68" t="s">
        <v>335</v>
      </c>
      <c r="G63" s="68">
        <v>4.54</v>
      </c>
      <c r="H63" s="100" t="str">
        <f>MID(Page012[[#This Row],[Column4]],SEARCH("(",Page012[[#This Row],[Column4]])+1,SEARCH(")",Page012[[#This Row],[Column4]])-SEARCH("(",Page012[[#This Row],[Column4]])-1)</f>
        <v>60.3</v>
      </c>
      <c r="I63" s="68">
        <v>60.3</v>
      </c>
      <c r="J63" s="68">
        <f t="shared" si="1"/>
        <v>0</v>
      </c>
      <c r="K63" s="68">
        <f t="shared" si="0"/>
        <v>0</v>
      </c>
      <c r="L63" s="100">
        <f t="shared" si="2"/>
        <v>-0.42486133646629831</v>
      </c>
      <c r="M63" s="68">
        <f t="shared" si="3"/>
        <v>10</v>
      </c>
    </row>
    <row r="64" spans="1:13">
      <c r="A64" s="100" t="str">
        <f>MID(Page012[[#This Row],[Column5]],SEARCH("(",Page012[[#This Row],[Column5]])+1,SEARCH(")",Page012[[#This Row],[Column5]])-SEARCH("(",Page012[[#This Row],[Column5]])-1)</f>
        <v>5.54</v>
      </c>
      <c r="B64" s="68" t="s">
        <v>362</v>
      </c>
      <c r="C64" s="68" t="s">
        <v>303</v>
      </c>
      <c r="D64" s="68" t="s">
        <v>304</v>
      </c>
      <c r="E64" s="68" t="s">
        <v>363</v>
      </c>
      <c r="F64" s="68" t="s">
        <v>366</v>
      </c>
      <c r="G64" s="68">
        <v>7.48</v>
      </c>
      <c r="H64" s="100" t="str">
        <f>MID(Page012[[#This Row],[Column4]],SEARCH("(",Page012[[#This Row],[Column4]])+1,SEARCH(")",Page012[[#This Row],[Column4]])-SEARCH("(",Page012[[#This Row],[Column4]])-1)</f>
        <v>60.3</v>
      </c>
      <c r="I64" s="68">
        <v>60.3</v>
      </c>
      <c r="J64" s="68">
        <f t="shared" si="1"/>
        <v>0</v>
      </c>
      <c r="K64" s="68">
        <f t="shared" si="0"/>
        <v>0</v>
      </c>
      <c r="L64" s="100">
        <f t="shared" si="2"/>
        <v>-0.42486133646629831</v>
      </c>
      <c r="M64" s="68">
        <f t="shared" si="3"/>
        <v>10</v>
      </c>
    </row>
    <row r="65" spans="1:13">
      <c r="A65" s="100" t="str">
        <f>MID(Page012[[#This Row],[Column5]],SEARCH("(",Page012[[#This Row],[Column5]])+1,SEARCH(")",Page012[[#This Row],[Column5]])-SEARCH("(",Page012[[#This Row],[Column5]])-1)</f>
        <v>6.35</v>
      </c>
      <c r="B65" s="68" t="s">
        <v>362</v>
      </c>
      <c r="C65" s="68" t="s">
        <v>292</v>
      </c>
      <c r="D65" s="68" t="s">
        <v>292</v>
      </c>
      <c r="E65" s="68" t="s">
        <v>363</v>
      </c>
      <c r="F65" s="68" t="s">
        <v>348</v>
      </c>
      <c r="G65" s="68">
        <v>8.4499999999999993</v>
      </c>
      <c r="H65" s="100" t="str">
        <f>MID(Page012[[#This Row],[Column4]],SEARCH("(",Page012[[#This Row],[Column4]])+1,SEARCH(")",Page012[[#This Row],[Column4]])-SEARCH("(",Page012[[#This Row],[Column4]])-1)</f>
        <v>60.3</v>
      </c>
      <c r="I65" s="68">
        <v>60.3</v>
      </c>
      <c r="J65" s="68">
        <f t="shared" si="1"/>
        <v>0</v>
      </c>
      <c r="K65" s="68">
        <f t="shared" si="0"/>
        <v>0</v>
      </c>
      <c r="L65" s="100">
        <f t="shared" si="2"/>
        <v>-0.42486133646629831</v>
      </c>
      <c r="M65" s="68">
        <f t="shared" si="3"/>
        <v>10</v>
      </c>
    </row>
    <row r="66" spans="1:13">
      <c r="A66" s="100" t="str">
        <f>MID(Page012[[#This Row],[Column5]],SEARCH("(",Page012[[#This Row],[Column5]])+1,SEARCH(")",Page012[[#This Row],[Column5]])-SEARCH("(",Page012[[#This Row],[Column5]])-1)</f>
        <v>7.14</v>
      </c>
      <c r="B66" s="68" t="s">
        <v>362</v>
      </c>
      <c r="C66" s="68" t="s">
        <v>292</v>
      </c>
      <c r="D66" s="68" t="s">
        <v>292</v>
      </c>
      <c r="E66" s="68" t="s">
        <v>363</v>
      </c>
      <c r="F66" s="68" t="s">
        <v>360</v>
      </c>
      <c r="G66" s="68">
        <v>9.36</v>
      </c>
      <c r="H66" s="100" t="str">
        <f>MID(Page012[[#This Row],[Column4]],SEARCH("(",Page012[[#This Row],[Column4]])+1,SEARCH(")",Page012[[#This Row],[Column4]])-SEARCH("(",Page012[[#This Row],[Column4]])-1)</f>
        <v>60.3</v>
      </c>
      <c r="I66" s="68">
        <v>60.3</v>
      </c>
      <c r="J66" s="68">
        <f t="shared" si="1"/>
        <v>0</v>
      </c>
      <c r="K66" s="68">
        <f t="shared" ref="K66:K129" si="4">IF(IF(I66&gt;=$Q$3,I66,$Q$2+10)&lt;=$Q$2,A66,0)</f>
        <v>0</v>
      </c>
      <c r="L66" s="100">
        <f t="shared" si="2"/>
        <v>-0.42486133646629831</v>
      </c>
      <c r="M66" s="68">
        <f t="shared" si="3"/>
        <v>10</v>
      </c>
    </row>
    <row r="67" spans="1:13">
      <c r="A67" s="100" t="str">
        <f>MID(Page012[[#This Row],[Column5]],SEARCH("(",Page012[[#This Row],[Column5]])+1,SEARCH(")",Page012[[#This Row],[Column5]])-SEARCH("(",Page012[[#This Row],[Column5]])-1)</f>
        <v>8.74</v>
      </c>
      <c r="B67" s="68" t="s">
        <v>362</v>
      </c>
      <c r="C67" s="68" t="s">
        <v>292</v>
      </c>
      <c r="D67" s="68" t="s">
        <v>306</v>
      </c>
      <c r="E67" s="68" t="s">
        <v>363</v>
      </c>
      <c r="F67" s="68" t="s">
        <v>367</v>
      </c>
      <c r="G67" s="68">
        <v>11.11</v>
      </c>
      <c r="H67" s="100" t="str">
        <f>MID(Page012[[#This Row],[Column4]],SEARCH("(",Page012[[#This Row],[Column4]])+1,SEARCH(")",Page012[[#This Row],[Column4]])-SEARCH("(",Page012[[#This Row],[Column4]])-1)</f>
        <v>60.3</v>
      </c>
      <c r="I67" s="68">
        <v>60.3</v>
      </c>
      <c r="J67" s="68">
        <f t="shared" ref="J67:J130" si="5">IF(IF(I67&gt;=$Q$3,I67,$Q$2+10)&lt;=$Q$2,I67,0)</f>
        <v>0</v>
      </c>
      <c r="K67" s="68">
        <f t="shared" si="4"/>
        <v>0</v>
      </c>
      <c r="L67" s="100">
        <f t="shared" ref="L67:L130" si="6">K67-$Q$1</f>
        <v>-0.42486133646629831</v>
      </c>
      <c r="M67" s="68">
        <f t="shared" si="3"/>
        <v>10</v>
      </c>
    </row>
    <row r="68" spans="1:13">
      <c r="A68" s="100" t="str">
        <f>MID(Page012[[#This Row],[Column5]],SEARCH("(",Page012[[#This Row],[Column5]])+1,SEARCH(")",Page012[[#This Row],[Column5]])-SEARCH("(",Page012[[#This Row],[Column5]])-1)</f>
        <v>11.07</v>
      </c>
      <c r="B68" s="68" t="s">
        <v>362</v>
      </c>
      <c r="C68" s="68" t="s">
        <v>308</v>
      </c>
      <c r="D68" s="68" t="s">
        <v>292</v>
      </c>
      <c r="E68" s="68" t="s">
        <v>363</v>
      </c>
      <c r="F68" s="68" t="s">
        <v>368</v>
      </c>
      <c r="G68" s="68">
        <v>13.44</v>
      </c>
      <c r="H68" s="100" t="str">
        <f>MID(Page012[[#This Row],[Column4]],SEARCH("(",Page012[[#This Row],[Column4]])+1,SEARCH(")",Page012[[#This Row],[Column4]])-SEARCH("(",Page012[[#This Row],[Column4]])-1)</f>
        <v>60.3</v>
      </c>
      <c r="I68" s="68">
        <v>60.3</v>
      </c>
      <c r="J68" s="68">
        <f t="shared" si="5"/>
        <v>0</v>
      </c>
      <c r="K68" s="68">
        <f t="shared" si="4"/>
        <v>0</v>
      </c>
      <c r="L68" s="100">
        <f t="shared" si="6"/>
        <v>-0.42486133646629831</v>
      </c>
      <c r="M68" s="68">
        <f t="shared" ref="M68:M131" si="7">IF(L68&lt;0,10,L68)</f>
        <v>10</v>
      </c>
    </row>
    <row r="69" spans="1:13">
      <c r="A69" s="100" t="str">
        <f>MID(Page012[[#This Row],[Column5]],SEARCH("(",Page012[[#This Row],[Column5]])+1,SEARCH(")",Page012[[#This Row],[Column5]])-SEARCH("(",Page012[[#This Row],[Column5]])-1)</f>
        <v>2.11</v>
      </c>
      <c r="B69" s="68" t="s">
        <v>369</v>
      </c>
      <c r="C69" s="68" t="s">
        <v>292</v>
      </c>
      <c r="D69" s="68" t="s">
        <v>330</v>
      </c>
      <c r="E69" s="68" t="s">
        <v>370</v>
      </c>
      <c r="F69" s="68" t="s">
        <v>332</v>
      </c>
      <c r="G69" s="68">
        <v>3.69</v>
      </c>
      <c r="H69" s="100" t="str">
        <f>MID(Page012[[#This Row],[Column4]],SEARCH("(",Page012[[#This Row],[Column4]])+1,SEARCH(")",Page012[[#This Row],[Column4]])-SEARCH("(",Page012[[#This Row],[Column4]])-1)</f>
        <v>73.0</v>
      </c>
      <c r="I69" s="68">
        <v>73</v>
      </c>
      <c r="J69" s="68">
        <f t="shared" si="5"/>
        <v>0</v>
      </c>
      <c r="K69" s="68">
        <f t="shared" si="4"/>
        <v>0</v>
      </c>
      <c r="L69" s="100">
        <f t="shared" si="6"/>
        <v>-0.42486133646629831</v>
      </c>
      <c r="M69" s="68">
        <f t="shared" si="7"/>
        <v>10</v>
      </c>
    </row>
    <row r="70" spans="1:13">
      <c r="A70" s="100" t="str">
        <f>MID(Page012[[#This Row],[Column5]],SEARCH("(",Page012[[#This Row],[Column5]])+1,SEARCH(")",Page012[[#This Row],[Column5]])-SEARCH("(",Page012[[#This Row],[Column5]])-1)</f>
        <v>2.77</v>
      </c>
      <c r="B70" s="68" t="s">
        <v>369</v>
      </c>
      <c r="C70" s="68" t="s">
        <v>292</v>
      </c>
      <c r="D70" s="68" t="s">
        <v>292</v>
      </c>
      <c r="E70" s="68" t="s">
        <v>370</v>
      </c>
      <c r="F70" s="68" t="s">
        <v>333</v>
      </c>
      <c r="G70" s="68">
        <v>4.8</v>
      </c>
      <c r="H70" s="100" t="str">
        <f>MID(Page012[[#This Row],[Column4]],SEARCH("(",Page012[[#This Row],[Column4]])+1,SEARCH(")",Page012[[#This Row],[Column4]])-SEARCH("(",Page012[[#This Row],[Column4]])-1)</f>
        <v>73.0</v>
      </c>
      <c r="I70" s="68">
        <v>73</v>
      </c>
      <c r="J70" s="68">
        <f t="shared" si="5"/>
        <v>0</v>
      </c>
      <c r="K70" s="68">
        <f t="shared" si="4"/>
        <v>0</v>
      </c>
      <c r="L70" s="100">
        <f t="shared" si="6"/>
        <v>-0.42486133646629831</v>
      </c>
      <c r="M70" s="68">
        <f t="shared" si="7"/>
        <v>10</v>
      </c>
    </row>
    <row r="71" spans="1:13">
      <c r="A71" s="100" t="str">
        <f>MID(Page012[[#This Row],[Column5]],SEARCH("(",Page012[[#This Row],[Column5]])+1,SEARCH(")",Page012[[#This Row],[Column5]])-SEARCH("(",Page012[[#This Row],[Column5]])-1)</f>
        <v>3.05</v>
      </c>
      <c r="B71" s="68" t="s">
        <v>369</v>
      </c>
      <c r="C71" s="68" t="s">
        <v>292</v>
      </c>
      <c r="D71" s="68" t="s">
        <v>293</v>
      </c>
      <c r="E71" s="68" t="s">
        <v>370</v>
      </c>
      <c r="F71" s="68" t="s">
        <v>371</v>
      </c>
      <c r="G71" s="68">
        <v>5.26</v>
      </c>
      <c r="H71" s="100" t="str">
        <f>MID(Page012[[#This Row],[Column4]],SEARCH("(",Page012[[#This Row],[Column4]])+1,SEARCH(")",Page012[[#This Row],[Column4]])-SEARCH("(",Page012[[#This Row],[Column4]])-1)</f>
        <v>73.0</v>
      </c>
      <c r="I71" s="68">
        <v>73</v>
      </c>
      <c r="J71" s="68">
        <f t="shared" si="5"/>
        <v>0</v>
      </c>
      <c r="K71" s="68">
        <f t="shared" si="4"/>
        <v>0</v>
      </c>
      <c r="L71" s="100">
        <f t="shared" si="6"/>
        <v>-0.42486133646629831</v>
      </c>
      <c r="M71" s="68">
        <f t="shared" si="7"/>
        <v>10</v>
      </c>
    </row>
    <row r="72" spans="1:13">
      <c r="A72" s="100" t="str">
        <f>MID(Page012[[#This Row],[Column5]],SEARCH("(",Page012[[#This Row],[Column5]])+1,SEARCH(")",Page012[[#This Row],[Column5]])-SEARCH("(",Page012[[#This Row],[Column5]])-1)</f>
        <v>3.18</v>
      </c>
      <c r="B72" s="68" t="s">
        <v>369</v>
      </c>
      <c r="C72" s="68" t="s">
        <v>292</v>
      </c>
      <c r="D72" s="68" t="s">
        <v>292</v>
      </c>
      <c r="E72" s="68" t="s">
        <v>370</v>
      </c>
      <c r="F72" s="68" t="s">
        <v>358</v>
      </c>
      <c r="G72" s="68">
        <v>5.48</v>
      </c>
      <c r="H72" s="100" t="str">
        <f>MID(Page012[[#This Row],[Column4]],SEARCH("(",Page012[[#This Row],[Column4]])+1,SEARCH(")",Page012[[#This Row],[Column4]])-SEARCH("(",Page012[[#This Row],[Column4]])-1)</f>
        <v>73.0</v>
      </c>
      <c r="I72" s="68">
        <v>73</v>
      </c>
      <c r="J72" s="68">
        <f t="shared" si="5"/>
        <v>0</v>
      </c>
      <c r="K72" s="68">
        <f t="shared" si="4"/>
        <v>0</v>
      </c>
      <c r="L72" s="100">
        <f t="shared" si="6"/>
        <v>-0.42486133646629831</v>
      </c>
      <c r="M72" s="68">
        <f t="shared" si="7"/>
        <v>10</v>
      </c>
    </row>
    <row r="73" spans="1:13">
      <c r="A73" s="100" t="str">
        <f>MID(Page012[[#This Row],[Column5]],SEARCH("(",Page012[[#This Row],[Column5]])+1,SEARCH(")",Page012[[#This Row],[Column5]])-SEARCH("(",Page012[[#This Row],[Column5]])-1)</f>
        <v>3.58</v>
      </c>
      <c r="B73" s="68" t="s">
        <v>369</v>
      </c>
      <c r="C73" s="68" t="s">
        <v>292</v>
      </c>
      <c r="D73" s="68" t="s">
        <v>292</v>
      </c>
      <c r="E73" s="68" t="s">
        <v>370</v>
      </c>
      <c r="F73" s="68" t="s">
        <v>364</v>
      </c>
      <c r="G73" s="68">
        <v>6.13</v>
      </c>
      <c r="H73" s="100" t="str">
        <f>MID(Page012[[#This Row],[Column4]],SEARCH("(",Page012[[#This Row],[Column4]])+1,SEARCH(")",Page012[[#This Row],[Column4]])-SEARCH("(",Page012[[#This Row],[Column4]])-1)</f>
        <v>73.0</v>
      </c>
      <c r="I73" s="68">
        <v>73</v>
      </c>
      <c r="J73" s="68">
        <f t="shared" si="5"/>
        <v>0</v>
      </c>
      <c r="K73" s="68">
        <f t="shared" si="4"/>
        <v>0</v>
      </c>
      <c r="L73" s="100">
        <f t="shared" si="6"/>
        <v>-0.42486133646629831</v>
      </c>
      <c r="M73" s="68">
        <f t="shared" si="7"/>
        <v>10</v>
      </c>
    </row>
    <row r="74" spans="1:13">
      <c r="A74" s="100" t="str">
        <f>MID(Page012[[#This Row],[Column5]],SEARCH("(",Page012[[#This Row],[Column5]])+1,SEARCH(")",Page012[[#This Row],[Column5]])-SEARCH("(",Page012[[#This Row],[Column5]])-1)</f>
        <v>3.96</v>
      </c>
      <c r="B74" s="68" t="s">
        <v>369</v>
      </c>
      <c r="C74" s="68" t="s">
        <v>292</v>
      </c>
      <c r="D74" s="68" t="s">
        <v>292</v>
      </c>
      <c r="E74" s="68" t="s">
        <v>370</v>
      </c>
      <c r="F74" s="68" t="s">
        <v>372</v>
      </c>
      <c r="G74" s="68">
        <v>6.74</v>
      </c>
      <c r="H74" s="100" t="str">
        <f>MID(Page012[[#This Row],[Column4]],SEARCH("(",Page012[[#This Row],[Column4]])+1,SEARCH(")",Page012[[#This Row],[Column4]])-SEARCH("(",Page012[[#This Row],[Column4]])-1)</f>
        <v>73.0</v>
      </c>
      <c r="I74" s="68">
        <v>73</v>
      </c>
      <c r="J74" s="68">
        <f t="shared" si="5"/>
        <v>0</v>
      </c>
      <c r="K74" s="68">
        <f t="shared" si="4"/>
        <v>0</v>
      </c>
      <c r="L74" s="100">
        <f t="shared" si="6"/>
        <v>-0.42486133646629831</v>
      </c>
      <c r="M74" s="68">
        <f t="shared" si="7"/>
        <v>10</v>
      </c>
    </row>
    <row r="75" spans="1:13">
      <c r="A75" s="100" t="str">
        <f>MID(Page012[[#This Row],[Column5]],SEARCH("(",Page012[[#This Row],[Column5]])+1,SEARCH(")",Page012[[#This Row],[Column5]])-SEARCH("(",Page012[[#This Row],[Column5]])-1)</f>
        <v>4.37</v>
      </c>
      <c r="B75" s="68" t="s">
        <v>369</v>
      </c>
      <c r="C75" s="68" t="s">
        <v>292</v>
      </c>
      <c r="D75" s="68" t="s">
        <v>292</v>
      </c>
      <c r="E75" s="68" t="s">
        <v>370</v>
      </c>
      <c r="F75" s="68" t="s">
        <v>365</v>
      </c>
      <c r="G75" s="68">
        <v>7.4</v>
      </c>
      <c r="H75" s="100" t="str">
        <f>MID(Page012[[#This Row],[Column4]],SEARCH("(",Page012[[#This Row],[Column4]])+1,SEARCH(")",Page012[[#This Row],[Column4]])-SEARCH("(",Page012[[#This Row],[Column4]])-1)</f>
        <v>73.0</v>
      </c>
      <c r="I75" s="68">
        <v>73</v>
      </c>
      <c r="J75" s="68">
        <f t="shared" si="5"/>
        <v>0</v>
      </c>
      <c r="K75" s="68">
        <f t="shared" si="4"/>
        <v>0</v>
      </c>
      <c r="L75" s="100">
        <f t="shared" si="6"/>
        <v>-0.42486133646629831</v>
      </c>
      <c r="M75" s="68">
        <f t="shared" si="7"/>
        <v>10</v>
      </c>
    </row>
    <row r="76" spans="1:13">
      <c r="A76" s="100" t="str">
        <f>MID(Page012[[#This Row],[Column5]],SEARCH("(",Page012[[#This Row],[Column5]])+1,SEARCH(")",Page012[[#This Row],[Column5]])-SEARCH("(",Page012[[#This Row],[Column5]])-1)</f>
        <v>4.78</v>
      </c>
      <c r="B76" s="68" t="s">
        <v>369</v>
      </c>
      <c r="C76" s="68" t="s">
        <v>292</v>
      </c>
      <c r="D76" s="68" t="s">
        <v>297</v>
      </c>
      <c r="E76" s="68" t="s">
        <v>370</v>
      </c>
      <c r="F76" s="68" t="s">
        <v>335</v>
      </c>
      <c r="G76" s="68">
        <v>8.0399999999999991</v>
      </c>
      <c r="H76" s="100" t="str">
        <f>MID(Page012[[#This Row],[Column4]],SEARCH("(",Page012[[#This Row],[Column4]])+1,SEARCH(")",Page012[[#This Row],[Column4]])-SEARCH("(",Page012[[#This Row],[Column4]])-1)</f>
        <v>73.0</v>
      </c>
      <c r="I76" s="68">
        <v>73</v>
      </c>
      <c r="J76" s="68">
        <f t="shared" si="5"/>
        <v>0</v>
      </c>
      <c r="K76" s="68">
        <f t="shared" si="4"/>
        <v>0</v>
      </c>
      <c r="L76" s="100">
        <f t="shared" si="6"/>
        <v>-0.42486133646629831</v>
      </c>
      <c r="M76" s="68">
        <f t="shared" si="7"/>
        <v>10</v>
      </c>
    </row>
    <row r="77" spans="1:13">
      <c r="A77" s="100" t="str">
        <f>MID(Page012[[#This Row],[Column5]],SEARCH("(",Page012[[#This Row],[Column5]])+1,SEARCH(")",Page012[[#This Row],[Column5]])-SEARCH("(",Page012[[#This Row],[Column5]])-1)</f>
        <v>5.16</v>
      </c>
      <c r="B77" s="68" t="s">
        <v>369</v>
      </c>
      <c r="C77" s="68" t="s">
        <v>300</v>
      </c>
      <c r="D77" s="68" t="s">
        <v>301</v>
      </c>
      <c r="E77" s="68" t="s">
        <v>370</v>
      </c>
      <c r="F77" s="68" t="s">
        <v>373</v>
      </c>
      <c r="G77" s="68">
        <v>8.6300000000000008</v>
      </c>
      <c r="H77" s="100" t="str">
        <f>MID(Page012[[#This Row],[Column4]],SEARCH("(",Page012[[#This Row],[Column4]])+1,SEARCH(")",Page012[[#This Row],[Column4]])-SEARCH("(",Page012[[#This Row],[Column4]])-1)</f>
        <v>73.0</v>
      </c>
      <c r="I77" s="68">
        <v>73</v>
      </c>
      <c r="J77" s="68">
        <f t="shared" si="5"/>
        <v>0</v>
      </c>
      <c r="K77" s="68">
        <f t="shared" si="4"/>
        <v>0</v>
      </c>
      <c r="L77" s="100">
        <f t="shared" si="6"/>
        <v>-0.42486133646629831</v>
      </c>
      <c r="M77" s="68">
        <f t="shared" si="7"/>
        <v>10</v>
      </c>
    </row>
    <row r="78" spans="1:13">
      <c r="A78" s="100" t="str">
        <f>MID(Page012[[#This Row],[Column5]],SEARCH("(",Page012[[#This Row],[Column5]])+1,SEARCH(")",Page012[[#This Row],[Column5]])-SEARCH("(",Page012[[#This Row],[Column5]])-1)</f>
        <v>5.49</v>
      </c>
      <c r="B78" s="68" t="s">
        <v>369</v>
      </c>
      <c r="C78" s="68" t="s">
        <v>292</v>
      </c>
      <c r="D78" s="68" t="s">
        <v>292</v>
      </c>
      <c r="E78" s="68" t="s">
        <v>370</v>
      </c>
      <c r="F78" s="68" t="s">
        <v>374</v>
      </c>
      <c r="G78" s="68">
        <v>9.14</v>
      </c>
      <c r="H78" s="100" t="str">
        <f>MID(Page012[[#This Row],[Column4]],SEARCH("(",Page012[[#This Row],[Column4]])+1,SEARCH(")",Page012[[#This Row],[Column4]])-SEARCH("(",Page012[[#This Row],[Column4]])-1)</f>
        <v>73.0</v>
      </c>
      <c r="I78" s="68">
        <v>73</v>
      </c>
      <c r="J78" s="68">
        <f t="shared" si="5"/>
        <v>0</v>
      </c>
      <c r="K78" s="68">
        <f t="shared" si="4"/>
        <v>0</v>
      </c>
      <c r="L78" s="100">
        <f t="shared" si="6"/>
        <v>-0.42486133646629831</v>
      </c>
      <c r="M78" s="68">
        <f t="shared" si="7"/>
        <v>10</v>
      </c>
    </row>
    <row r="79" spans="1:13">
      <c r="A79" s="100" t="str">
        <f>MID(Page012[[#This Row],[Column5]],SEARCH("(",Page012[[#This Row],[Column5]])+1,SEARCH(")",Page012[[#This Row],[Column5]])-SEARCH("(",Page012[[#This Row],[Column5]])-1)</f>
        <v>6.35</v>
      </c>
      <c r="B79" s="68" t="s">
        <v>369</v>
      </c>
      <c r="C79" s="68" t="s">
        <v>292</v>
      </c>
      <c r="D79" s="68" t="s">
        <v>292</v>
      </c>
      <c r="E79" s="68" t="s">
        <v>370</v>
      </c>
      <c r="F79" s="68" t="s">
        <v>348</v>
      </c>
      <c r="G79" s="68">
        <v>10.44</v>
      </c>
      <c r="H79" s="100" t="str">
        <f>MID(Page012[[#This Row],[Column4]],SEARCH("(",Page012[[#This Row],[Column4]])+1,SEARCH(")",Page012[[#This Row],[Column4]])-SEARCH("(",Page012[[#This Row],[Column4]])-1)</f>
        <v>73.0</v>
      </c>
      <c r="I79" s="68">
        <v>73</v>
      </c>
      <c r="J79" s="68">
        <f t="shared" si="5"/>
        <v>0</v>
      </c>
      <c r="K79" s="68">
        <f t="shared" si="4"/>
        <v>0</v>
      </c>
      <c r="L79" s="100">
        <f t="shared" si="6"/>
        <v>-0.42486133646629831</v>
      </c>
      <c r="M79" s="68">
        <f t="shared" si="7"/>
        <v>10</v>
      </c>
    </row>
    <row r="80" spans="1:13">
      <c r="A80" s="100" t="str">
        <f>MID(Page012[[#This Row],[Column5]],SEARCH("(",Page012[[#This Row],[Column5]])+1,SEARCH(")",Page012[[#This Row],[Column5]])-SEARCH("(",Page012[[#This Row],[Column5]])-1)</f>
        <v>7.01</v>
      </c>
      <c r="B80" s="68" t="s">
        <v>369</v>
      </c>
      <c r="C80" s="68" t="s">
        <v>303</v>
      </c>
      <c r="D80" s="68" t="s">
        <v>304</v>
      </c>
      <c r="E80" s="68" t="s">
        <v>370</v>
      </c>
      <c r="F80" s="68" t="s">
        <v>375</v>
      </c>
      <c r="G80" s="68">
        <v>11.41</v>
      </c>
      <c r="H80" s="100" t="str">
        <f>MID(Page012[[#This Row],[Column4]],SEARCH("(",Page012[[#This Row],[Column4]])+1,SEARCH(")",Page012[[#This Row],[Column4]])-SEARCH("(",Page012[[#This Row],[Column4]])-1)</f>
        <v>73.0</v>
      </c>
      <c r="I80" s="68">
        <v>73</v>
      </c>
      <c r="J80" s="68">
        <f t="shared" si="5"/>
        <v>0</v>
      </c>
      <c r="K80" s="68">
        <f t="shared" si="4"/>
        <v>0</v>
      </c>
      <c r="L80" s="100">
        <f t="shared" si="6"/>
        <v>-0.42486133646629831</v>
      </c>
      <c r="M80" s="68">
        <f t="shared" si="7"/>
        <v>10</v>
      </c>
    </row>
    <row r="81" spans="1:13">
      <c r="A81" s="100" t="str">
        <f>MID(Page012[[#This Row],[Column5]],SEARCH("(",Page012[[#This Row],[Column5]])+1,SEARCH(")",Page012[[#This Row],[Column5]])-SEARCH("(",Page012[[#This Row],[Column5]])-1)</f>
        <v>9.53</v>
      </c>
      <c r="B81" s="68" t="s">
        <v>369</v>
      </c>
      <c r="C81" s="68" t="s">
        <v>292</v>
      </c>
      <c r="D81" s="68" t="s">
        <v>306</v>
      </c>
      <c r="E81" s="68" t="s">
        <v>370</v>
      </c>
      <c r="F81" s="68" t="s">
        <v>376</v>
      </c>
      <c r="G81" s="68">
        <v>14.92</v>
      </c>
      <c r="H81" s="100" t="str">
        <f>MID(Page012[[#This Row],[Column4]],SEARCH("(",Page012[[#This Row],[Column4]])+1,SEARCH(")",Page012[[#This Row],[Column4]])-SEARCH("(",Page012[[#This Row],[Column4]])-1)</f>
        <v>73.0</v>
      </c>
      <c r="I81" s="68">
        <v>73</v>
      </c>
      <c r="J81" s="68">
        <f t="shared" si="5"/>
        <v>0</v>
      </c>
      <c r="K81" s="68">
        <f t="shared" si="4"/>
        <v>0</v>
      </c>
      <c r="L81" s="100">
        <f t="shared" si="6"/>
        <v>-0.42486133646629831</v>
      </c>
      <c r="M81" s="68">
        <f t="shared" si="7"/>
        <v>10</v>
      </c>
    </row>
    <row r="82" spans="1:13">
      <c r="A82" s="100" t="str">
        <f>MID(Page012[[#This Row],[Column5]],SEARCH("(",Page012[[#This Row],[Column5]])+1,SEARCH(")",Page012[[#This Row],[Column5]])-SEARCH("(",Page012[[#This Row],[Column5]])-1)</f>
        <v>14.02</v>
      </c>
      <c r="B82" s="68" t="s">
        <v>369</v>
      </c>
      <c r="C82" s="68" t="s">
        <v>308</v>
      </c>
      <c r="D82" s="68" t="s">
        <v>292</v>
      </c>
      <c r="E82" s="68" t="s">
        <v>370</v>
      </c>
      <c r="F82" s="68" t="s">
        <v>377</v>
      </c>
      <c r="G82" s="68">
        <v>20.39</v>
      </c>
      <c r="H82" s="100" t="str">
        <f>MID(Page012[[#This Row],[Column4]],SEARCH("(",Page012[[#This Row],[Column4]])+1,SEARCH(")",Page012[[#This Row],[Column4]])-SEARCH("(",Page012[[#This Row],[Column4]])-1)</f>
        <v>73.0</v>
      </c>
      <c r="I82" s="68">
        <v>73</v>
      </c>
      <c r="J82" s="68">
        <f t="shared" si="5"/>
        <v>0</v>
      </c>
      <c r="K82" s="68">
        <f t="shared" si="4"/>
        <v>0</v>
      </c>
      <c r="L82" s="100">
        <f t="shared" si="6"/>
        <v>-0.42486133646629831</v>
      </c>
      <c r="M82" s="68">
        <f t="shared" si="7"/>
        <v>10</v>
      </c>
    </row>
    <row r="83" spans="1:13">
      <c r="A83" s="100" t="str">
        <f>MID(Page012[[#This Row],[Column5]],SEARCH("(",Page012[[#This Row],[Column5]])+1,SEARCH(")",Page012[[#This Row],[Column5]])-SEARCH("(",Page012[[#This Row],[Column5]])-1)</f>
        <v>2.11</v>
      </c>
      <c r="B83" s="68" t="s">
        <v>378</v>
      </c>
      <c r="C83" s="68" t="s">
        <v>292</v>
      </c>
      <c r="D83" s="68" t="s">
        <v>330</v>
      </c>
      <c r="E83" s="68" t="s">
        <v>379</v>
      </c>
      <c r="F83" s="68" t="s">
        <v>332</v>
      </c>
      <c r="G83" s="68">
        <v>4.5199999999999996</v>
      </c>
      <c r="H83" s="100" t="str">
        <f>MID(Page012[[#This Row],[Column4]],SEARCH("(",Page012[[#This Row],[Column4]])+1,SEARCH(")",Page012[[#This Row],[Column4]])-SEARCH("(",Page012[[#This Row],[Column4]])-1)</f>
        <v>88.9</v>
      </c>
      <c r="I83" s="68">
        <v>88.9</v>
      </c>
      <c r="J83" s="68">
        <f t="shared" si="5"/>
        <v>0</v>
      </c>
      <c r="K83" s="68">
        <f t="shared" si="4"/>
        <v>0</v>
      </c>
      <c r="L83" s="100">
        <f t="shared" si="6"/>
        <v>-0.42486133646629831</v>
      </c>
      <c r="M83" s="68">
        <f t="shared" si="7"/>
        <v>10</v>
      </c>
    </row>
    <row r="84" spans="1:13">
      <c r="A84" s="100" t="str">
        <f>MID(Page012[[#This Row],[Column5]],SEARCH("(",Page012[[#This Row],[Column5]])+1,SEARCH(")",Page012[[#This Row],[Column5]])-SEARCH("(",Page012[[#This Row],[Column5]])-1)</f>
        <v>2.77</v>
      </c>
      <c r="B84" s="68" t="s">
        <v>378</v>
      </c>
      <c r="C84" s="68" t="s">
        <v>292</v>
      </c>
      <c r="D84" s="68" t="s">
        <v>292</v>
      </c>
      <c r="E84" s="68" t="s">
        <v>379</v>
      </c>
      <c r="F84" s="68" t="s">
        <v>333</v>
      </c>
      <c r="G84" s="68">
        <v>5.88</v>
      </c>
      <c r="H84" s="100" t="str">
        <f>MID(Page012[[#This Row],[Column4]],SEARCH("(",Page012[[#This Row],[Column4]])+1,SEARCH(")",Page012[[#This Row],[Column4]])-SEARCH("(",Page012[[#This Row],[Column4]])-1)</f>
        <v>88.9</v>
      </c>
      <c r="I84" s="68">
        <v>88.9</v>
      </c>
      <c r="J84" s="68">
        <f t="shared" si="5"/>
        <v>0</v>
      </c>
      <c r="K84" s="68">
        <f t="shared" si="4"/>
        <v>0</v>
      </c>
      <c r="L84" s="100">
        <f t="shared" si="6"/>
        <v>-0.42486133646629831</v>
      </c>
      <c r="M84" s="68">
        <f t="shared" si="7"/>
        <v>10</v>
      </c>
    </row>
    <row r="85" spans="1:13">
      <c r="A85" s="100" t="str">
        <f>MID(Page012[[#This Row],[Column5]],SEARCH("(",Page012[[#This Row],[Column5]])+1,SEARCH(")",Page012[[#This Row],[Column5]])-SEARCH("(",Page012[[#This Row],[Column5]])-1)</f>
        <v>3.05</v>
      </c>
      <c r="B85" s="68" t="s">
        <v>378</v>
      </c>
      <c r="C85" s="68" t="s">
        <v>292</v>
      </c>
      <c r="D85" s="68" t="s">
        <v>293</v>
      </c>
      <c r="E85" s="68" t="s">
        <v>379</v>
      </c>
      <c r="F85" s="68" t="s">
        <v>371</v>
      </c>
      <c r="G85" s="68">
        <v>6.46</v>
      </c>
      <c r="H85" s="100" t="str">
        <f>MID(Page012[[#This Row],[Column4]],SEARCH("(",Page012[[#This Row],[Column4]])+1,SEARCH(")",Page012[[#This Row],[Column4]])-SEARCH("(",Page012[[#This Row],[Column4]])-1)</f>
        <v>88.9</v>
      </c>
      <c r="I85" s="68">
        <v>88.9</v>
      </c>
      <c r="J85" s="68">
        <f t="shared" si="5"/>
        <v>0</v>
      </c>
      <c r="K85" s="68">
        <f t="shared" si="4"/>
        <v>0</v>
      </c>
      <c r="L85" s="100">
        <f t="shared" si="6"/>
        <v>-0.42486133646629831</v>
      </c>
      <c r="M85" s="68">
        <f t="shared" si="7"/>
        <v>10</v>
      </c>
    </row>
    <row r="86" spans="1:13">
      <c r="A86" s="100" t="str">
        <f>MID(Page012[[#This Row],[Column5]],SEARCH("(",Page012[[#This Row],[Column5]])+1,SEARCH(")",Page012[[#This Row],[Column5]])-SEARCH("(",Page012[[#This Row],[Column5]])-1)</f>
        <v>3.18</v>
      </c>
      <c r="B86" s="68" t="s">
        <v>378</v>
      </c>
      <c r="C86" s="68" t="s">
        <v>292</v>
      </c>
      <c r="D86" s="68" t="s">
        <v>292</v>
      </c>
      <c r="E86" s="68" t="s">
        <v>379</v>
      </c>
      <c r="F86" s="68" t="s">
        <v>358</v>
      </c>
      <c r="G86" s="68">
        <v>6.72</v>
      </c>
      <c r="H86" s="100" t="str">
        <f>MID(Page012[[#This Row],[Column4]],SEARCH("(",Page012[[#This Row],[Column4]])+1,SEARCH(")",Page012[[#This Row],[Column4]])-SEARCH("(",Page012[[#This Row],[Column4]])-1)</f>
        <v>88.9</v>
      </c>
      <c r="I86" s="68">
        <v>88.9</v>
      </c>
      <c r="J86" s="68">
        <f t="shared" si="5"/>
        <v>0</v>
      </c>
      <c r="K86" s="68">
        <f t="shared" si="4"/>
        <v>0</v>
      </c>
      <c r="L86" s="100">
        <f t="shared" si="6"/>
        <v>-0.42486133646629831</v>
      </c>
      <c r="M86" s="68">
        <f t="shared" si="7"/>
        <v>10</v>
      </c>
    </row>
    <row r="87" spans="1:13">
      <c r="A87" s="100" t="str">
        <f>MID(Page012[[#This Row],[Column5]],SEARCH("(",Page012[[#This Row],[Column5]])+1,SEARCH(")",Page012[[#This Row],[Column5]])-SEARCH("(",Page012[[#This Row],[Column5]])-1)</f>
        <v>3.58</v>
      </c>
      <c r="B87" s="68" t="s">
        <v>378</v>
      </c>
      <c r="C87" s="68" t="s">
        <v>292</v>
      </c>
      <c r="D87" s="68" t="s">
        <v>292</v>
      </c>
      <c r="E87" s="68" t="s">
        <v>379</v>
      </c>
      <c r="F87" s="68" t="s">
        <v>364</v>
      </c>
      <c r="G87" s="68">
        <v>7.53</v>
      </c>
      <c r="H87" s="100" t="str">
        <f>MID(Page012[[#This Row],[Column4]],SEARCH("(",Page012[[#This Row],[Column4]])+1,SEARCH(")",Page012[[#This Row],[Column4]])-SEARCH("(",Page012[[#This Row],[Column4]])-1)</f>
        <v>88.9</v>
      </c>
      <c r="I87" s="68">
        <v>88.9</v>
      </c>
      <c r="J87" s="68">
        <f t="shared" si="5"/>
        <v>0</v>
      </c>
      <c r="K87" s="68">
        <f t="shared" si="4"/>
        <v>0</v>
      </c>
      <c r="L87" s="100">
        <f t="shared" si="6"/>
        <v>-0.42486133646629831</v>
      </c>
      <c r="M87" s="68">
        <f t="shared" si="7"/>
        <v>10</v>
      </c>
    </row>
    <row r="88" spans="1:13">
      <c r="A88" s="100" t="str">
        <f>MID(Page012[[#This Row],[Column5]],SEARCH("(",Page012[[#This Row],[Column5]])+1,SEARCH(")",Page012[[#This Row],[Column5]])-SEARCH("(",Page012[[#This Row],[Column5]])-1)</f>
        <v>3.96</v>
      </c>
      <c r="B88" s="68" t="s">
        <v>378</v>
      </c>
      <c r="C88" s="68" t="s">
        <v>292</v>
      </c>
      <c r="D88" s="68" t="s">
        <v>292</v>
      </c>
      <c r="E88" s="68" t="s">
        <v>379</v>
      </c>
      <c r="F88" s="68" t="s">
        <v>372</v>
      </c>
      <c r="G88" s="68">
        <v>8.3000000000000007</v>
      </c>
      <c r="H88" s="100" t="str">
        <f>MID(Page012[[#This Row],[Column4]],SEARCH("(",Page012[[#This Row],[Column4]])+1,SEARCH(")",Page012[[#This Row],[Column4]])-SEARCH("(",Page012[[#This Row],[Column4]])-1)</f>
        <v>88.9</v>
      </c>
      <c r="I88" s="68">
        <v>88.9</v>
      </c>
      <c r="J88" s="68">
        <f t="shared" si="5"/>
        <v>0</v>
      </c>
      <c r="K88" s="68">
        <f t="shared" si="4"/>
        <v>0</v>
      </c>
      <c r="L88" s="100">
        <f t="shared" si="6"/>
        <v>-0.42486133646629831</v>
      </c>
      <c r="M88" s="68">
        <f t="shared" si="7"/>
        <v>10</v>
      </c>
    </row>
    <row r="89" spans="1:13">
      <c r="A89" s="100" t="str">
        <f>MID(Page012[[#This Row],[Column5]],SEARCH("(",Page012[[#This Row],[Column5]])+1,SEARCH(")",Page012[[#This Row],[Column5]])-SEARCH("(",Page012[[#This Row],[Column5]])-1)</f>
        <v>4.37</v>
      </c>
      <c r="B89" s="68" t="s">
        <v>378</v>
      </c>
      <c r="C89" s="68" t="s">
        <v>292</v>
      </c>
      <c r="D89" s="68" t="s">
        <v>292</v>
      </c>
      <c r="E89" s="68" t="s">
        <v>379</v>
      </c>
      <c r="F89" s="68" t="s">
        <v>365</v>
      </c>
      <c r="G89" s="68">
        <v>9.11</v>
      </c>
      <c r="H89" s="100" t="str">
        <f>MID(Page012[[#This Row],[Column4]],SEARCH("(",Page012[[#This Row],[Column4]])+1,SEARCH(")",Page012[[#This Row],[Column4]])-SEARCH("(",Page012[[#This Row],[Column4]])-1)</f>
        <v>88.9</v>
      </c>
      <c r="I89" s="68">
        <v>88.9</v>
      </c>
      <c r="J89" s="68">
        <f t="shared" si="5"/>
        <v>0</v>
      </c>
      <c r="K89" s="68">
        <f t="shared" si="4"/>
        <v>0</v>
      </c>
      <c r="L89" s="100">
        <f t="shared" si="6"/>
        <v>-0.42486133646629831</v>
      </c>
      <c r="M89" s="68">
        <f t="shared" si="7"/>
        <v>10</v>
      </c>
    </row>
    <row r="90" spans="1:13">
      <c r="A90" s="100" t="str">
        <f>MID(Page012[[#This Row],[Column5]],SEARCH("(",Page012[[#This Row],[Column5]])+1,SEARCH(")",Page012[[#This Row],[Column5]])-SEARCH("(",Page012[[#This Row],[Column5]])-1)</f>
        <v>4.78</v>
      </c>
      <c r="B90" s="68" t="s">
        <v>378</v>
      </c>
      <c r="C90" s="68" t="s">
        <v>292</v>
      </c>
      <c r="D90" s="68" t="s">
        <v>297</v>
      </c>
      <c r="E90" s="68" t="s">
        <v>379</v>
      </c>
      <c r="F90" s="68" t="s">
        <v>335</v>
      </c>
      <c r="G90" s="68">
        <v>9.92</v>
      </c>
      <c r="H90" s="100" t="str">
        <f>MID(Page012[[#This Row],[Column4]],SEARCH("(",Page012[[#This Row],[Column4]])+1,SEARCH(")",Page012[[#This Row],[Column4]])-SEARCH("(",Page012[[#This Row],[Column4]])-1)</f>
        <v>88.9</v>
      </c>
      <c r="I90" s="68">
        <v>88.9</v>
      </c>
      <c r="J90" s="68">
        <f t="shared" si="5"/>
        <v>0</v>
      </c>
      <c r="K90" s="68">
        <f t="shared" si="4"/>
        <v>0</v>
      </c>
      <c r="L90" s="100">
        <f t="shared" si="6"/>
        <v>-0.42486133646629831</v>
      </c>
      <c r="M90" s="68">
        <f t="shared" si="7"/>
        <v>10</v>
      </c>
    </row>
    <row r="91" spans="1:13">
      <c r="A91" s="100" t="str">
        <f>MID(Page012[[#This Row],[Column5]],SEARCH("(",Page012[[#This Row],[Column5]])+1,SEARCH(")",Page012[[#This Row],[Column5]])-SEARCH("(",Page012[[#This Row],[Column5]])-1)</f>
        <v>5.49</v>
      </c>
      <c r="B91" s="68" t="s">
        <v>378</v>
      </c>
      <c r="C91" s="68" t="s">
        <v>300</v>
      </c>
      <c r="D91" s="68" t="s">
        <v>301</v>
      </c>
      <c r="E91" s="68" t="s">
        <v>379</v>
      </c>
      <c r="F91" s="68" t="s">
        <v>374</v>
      </c>
      <c r="G91" s="68">
        <v>11.29</v>
      </c>
      <c r="H91" s="100" t="str">
        <f>MID(Page012[[#This Row],[Column4]],SEARCH("(",Page012[[#This Row],[Column4]])+1,SEARCH(")",Page012[[#This Row],[Column4]])-SEARCH("(",Page012[[#This Row],[Column4]])-1)</f>
        <v>88.9</v>
      </c>
      <c r="I91" s="68">
        <v>88.9</v>
      </c>
      <c r="J91" s="68">
        <f t="shared" si="5"/>
        <v>0</v>
      </c>
      <c r="K91" s="68">
        <f t="shared" si="4"/>
        <v>0</v>
      </c>
      <c r="L91" s="100">
        <f t="shared" si="6"/>
        <v>-0.42486133646629831</v>
      </c>
      <c r="M91" s="68">
        <f t="shared" si="7"/>
        <v>10</v>
      </c>
    </row>
    <row r="92" spans="1:13">
      <c r="A92" s="100" t="str">
        <f>MID(Page012[[#This Row],[Column5]],SEARCH("(",Page012[[#This Row],[Column5]])+1,SEARCH(")",Page012[[#This Row],[Column5]])-SEARCH("(",Page012[[#This Row],[Column5]])-1)</f>
        <v>6.35</v>
      </c>
      <c r="B92" s="68" t="s">
        <v>378</v>
      </c>
      <c r="C92" s="68" t="s">
        <v>292</v>
      </c>
      <c r="D92" s="68" t="s">
        <v>292</v>
      </c>
      <c r="E92" s="68" t="s">
        <v>379</v>
      </c>
      <c r="F92" s="68" t="s">
        <v>348</v>
      </c>
      <c r="G92" s="68">
        <v>12.93</v>
      </c>
      <c r="H92" s="100" t="str">
        <f>MID(Page012[[#This Row],[Column4]],SEARCH("(",Page012[[#This Row],[Column4]])+1,SEARCH(")",Page012[[#This Row],[Column4]])-SEARCH("(",Page012[[#This Row],[Column4]])-1)</f>
        <v>88.9</v>
      </c>
      <c r="I92" s="68">
        <v>88.9</v>
      </c>
      <c r="J92" s="68">
        <f t="shared" si="5"/>
        <v>0</v>
      </c>
      <c r="K92" s="68">
        <f t="shared" si="4"/>
        <v>0</v>
      </c>
      <c r="L92" s="100">
        <f t="shared" si="6"/>
        <v>-0.42486133646629831</v>
      </c>
      <c r="M92" s="68">
        <f t="shared" si="7"/>
        <v>10</v>
      </c>
    </row>
    <row r="93" spans="1:13">
      <c r="A93" s="100" t="str">
        <f>MID(Page012[[#This Row],[Column5]],SEARCH("(",Page012[[#This Row],[Column5]])+1,SEARCH(")",Page012[[#This Row],[Column5]])-SEARCH("(",Page012[[#This Row],[Column5]])-1)</f>
        <v>7.14</v>
      </c>
      <c r="B93" s="68" t="s">
        <v>378</v>
      </c>
      <c r="C93" s="68" t="s">
        <v>292</v>
      </c>
      <c r="D93" s="68" t="s">
        <v>292</v>
      </c>
      <c r="E93" s="68" t="s">
        <v>379</v>
      </c>
      <c r="F93" s="68" t="s">
        <v>360</v>
      </c>
      <c r="G93" s="68">
        <v>14.4</v>
      </c>
      <c r="H93" s="100" t="str">
        <f>MID(Page012[[#This Row],[Column4]],SEARCH("(",Page012[[#This Row],[Column4]])+1,SEARCH(")",Page012[[#This Row],[Column4]])-SEARCH("(",Page012[[#This Row],[Column4]])-1)</f>
        <v>88.9</v>
      </c>
      <c r="I93" s="68">
        <v>88.9</v>
      </c>
      <c r="J93" s="68">
        <f t="shared" si="5"/>
        <v>0</v>
      </c>
      <c r="K93" s="68">
        <f t="shared" si="4"/>
        <v>0</v>
      </c>
      <c r="L93" s="100">
        <f t="shared" si="6"/>
        <v>-0.42486133646629831</v>
      </c>
      <c r="M93" s="68">
        <f t="shared" si="7"/>
        <v>10</v>
      </c>
    </row>
    <row r="94" spans="1:13">
      <c r="A94" s="100" t="str">
        <f>MID(Page012[[#This Row],[Column5]],SEARCH("(",Page012[[#This Row],[Column5]])+1,SEARCH(")",Page012[[#This Row],[Column5]])-SEARCH("(",Page012[[#This Row],[Column5]])-1)</f>
        <v>7.62</v>
      </c>
      <c r="B94" s="68" t="s">
        <v>378</v>
      </c>
      <c r="C94" s="68" t="s">
        <v>303</v>
      </c>
      <c r="D94" s="68" t="s">
        <v>304</v>
      </c>
      <c r="E94" s="68" t="s">
        <v>379</v>
      </c>
      <c r="F94" s="68" t="s">
        <v>380</v>
      </c>
      <c r="G94" s="68">
        <v>15.27</v>
      </c>
      <c r="H94" s="100" t="str">
        <f>MID(Page012[[#This Row],[Column4]],SEARCH("(",Page012[[#This Row],[Column4]])+1,SEARCH(")",Page012[[#This Row],[Column4]])-SEARCH("(",Page012[[#This Row],[Column4]])-1)</f>
        <v>88.9</v>
      </c>
      <c r="I94" s="68">
        <v>88.9</v>
      </c>
      <c r="J94" s="68">
        <f t="shared" si="5"/>
        <v>0</v>
      </c>
      <c r="K94" s="68">
        <f t="shared" si="4"/>
        <v>0</v>
      </c>
      <c r="L94" s="100">
        <f t="shared" si="6"/>
        <v>-0.42486133646629831</v>
      </c>
      <c r="M94" s="68">
        <f t="shared" si="7"/>
        <v>10</v>
      </c>
    </row>
    <row r="95" spans="1:13">
      <c r="A95" s="100" t="str">
        <f>MID(Page012[[#This Row],[Column5]],SEARCH("(",Page012[[#This Row],[Column5]])+1,SEARCH(")",Page012[[#This Row],[Column5]])-SEARCH("(",Page012[[#This Row],[Column5]])-1)</f>
        <v>11.13</v>
      </c>
      <c r="B95" s="68" t="s">
        <v>378</v>
      </c>
      <c r="C95" s="68" t="s">
        <v>292</v>
      </c>
      <c r="D95" s="68" t="s">
        <v>306</v>
      </c>
      <c r="E95" s="68" t="s">
        <v>379</v>
      </c>
      <c r="F95" s="68" t="s">
        <v>381</v>
      </c>
      <c r="G95" s="68">
        <v>21.35</v>
      </c>
      <c r="H95" s="100" t="str">
        <f>MID(Page012[[#This Row],[Column4]],SEARCH("(",Page012[[#This Row],[Column4]])+1,SEARCH(")",Page012[[#This Row],[Column4]])-SEARCH("(",Page012[[#This Row],[Column4]])-1)</f>
        <v>88.9</v>
      </c>
      <c r="I95" s="68">
        <v>88.9</v>
      </c>
      <c r="J95" s="68">
        <f t="shared" si="5"/>
        <v>0</v>
      </c>
      <c r="K95" s="68">
        <f t="shared" si="4"/>
        <v>0</v>
      </c>
      <c r="L95" s="100">
        <f t="shared" si="6"/>
        <v>-0.42486133646629831</v>
      </c>
      <c r="M95" s="68">
        <f t="shared" si="7"/>
        <v>10</v>
      </c>
    </row>
    <row r="96" spans="1:13">
      <c r="A96" s="100" t="str">
        <f>MID(Page012[[#This Row],[Column5]],SEARCH("(",Page012[[#This Row],[Column5]])+1,SEARCH(")",Page012[[#This Row],[Column5]])-SEARCH("(",Page012[[#This Row],[Column5]])-1)</f>
        <v>15.24</v>
      </c>
      <c r="B96" s="68" t="s">
        <v>378</v>
      </c>
      <c r="C96" s="68" t="s">
        <v>308</v>
      </c>
      <c r="D96" s="68" t="s">
        <v>292</v>
      </c>
      <c r="E96" s="68" t="s">
        <v>379</v>
      </c>
      <c r="F96" s="68" t="s">
        <v>382</v>
      </c>
      <c r="G96" s="68">
        <v>27.68</v>
      </c>
      <c r="H96" s="100" t="str">
        <f>MID(Page012[[#This Row],[Column4]],SEARCH("(",Page012[[#This Row],[Column4]])+1,SEARCH(")",Page012[[#This Row],[Column4]])-SEARCH("(",Page012[[#This Row],[Column4]])-1)</f>
        <v>88.9</v>
      </c>
      <c r="I96" s="68">
        <v>88.9</v>
      </c>
      <c r="J96" s="68">
        <f t="shared" si="5"/>
        <v>0</v>
      </c>
      <c r="K96" s="68">
        <f t="shared" si="4"/>
        <v>0</v>
      </c>
      <c r="L96" s="100">
        <f t="shared" si="6"/>
        <v>-0.42486133646629831</v>
      </c>
      <c r="M96" s="68">
        <f t="shared" si="7"/>
        <v>10</v>
      </c>
    </row>
    <row r="97" spans="1:13">
      <c r="A97" s="100" t="str">
        <f>MID(Page012[[#This Row],[Column5]],SEARCH("(",Page012[[#This Row],[Column5]])+1,SEARCH(")",Page012[[#This Row],[Column5]])-SEARCH("(",Page012[[#This Row],[Column5]])-1)</f>
        <v>2.11</v>
      </c>
      <c r="B97" s="68" t="s">
        <v>383</v>
      </c>
      <c r="C97" s="68" t="s">
        <v>292</v>
      </c>
      <c r="D97" s="68" t="s">
        <v>330</v>
      </c>
      <c r="E97" s="68" t="s">
        <v>384</v>
      </c>
      <c r="F97" s="68" t="s">
        <v>332</v>
      </c>
      <c r="G97" s="68">
        <v>5.18</v>
      </c>
      <c r="H97" s="100" t="str">
        <f>MID(Page012[[#This Row],[Column4]],SEARCH("(",Page012[[#This Row],[Column4]])+1,SEARCH(")",Page012[[#This Row],[Column4]])-SEARCH("(",Page012[[#This Row],[Column4]])-1)</f>
        <v>101.6</v>
      </c>
      <c r="I97" s="68">
        <v>101.6</v>
      </c>
      <c r="J97" s="68">
        <f t="shared" si="5"/>
        <v>0</v>
      </c>
      <c r="K97" s="68">
        <f t="shared" si="4"/>
        <v>0</v>
      </c>
      <c r="L97" s="100">
        <f t="shared" si="6"/>
        <v>-0.42486133646629831</v>
      </c>
      <c r="M97" s="68">
        <f t="shared" si="7"/>
        <v>10</v>
      </c>
    </row>
    <row r="98" spans="1:13">
      <c r="A98" s="100" t="str">
        <f>MID(Page012[[#This Row],[Column5]],SEARCH("(",Page012[[#This Row],[Column5]])+1,SEARCH(")",Page012[[#This Row],[Column5]])-SEARCH("(",Page012[[#This Row],[Column5]])-1)</f>
        <v>2.77</v>
      </c>
      <c r="B98" s="68" t="s">
        <v>383</v>
      </c>
      <c r="C98" s="68" t="s">
        <v>292</v>
      </c>
      <c r="D98" s="68" t="s">
        <v>292</v>
      </c>
      <c r="E98" s="68" t="s">
        <v>384</v>
      </c>
      <c r="F98" s="68" t="s">
        <v>333</v>
      </c>
      <c r="G98" s="68">
        <v>6.75</v>
      </c>
      <c r="H98" s="100" t="str">
        <f>MID(Page012[[#This Row],[Column4]],SEARCH("(",Page012[[#This Row],[Column4]])+1,SEARCH(")",Page012[[#This Row],[Column4]])-SEARCH("(",Page012[[#This Row],[Column4]])-1)</f>
        <v>101.6</v>
      </c>
      <c r="I98" s="68">
        <v>101.6</v>
      </c>
      <c r="J98" s="68">
        <f t="shared" si="5"/>
        <v>0</v>
      </c>
      <c r="K98" s="68">
        <f t="shared" si="4"/>
        <v>0</v>
      </c>
      <c r="L98" s="100">
        <f t="shared" si="6"/>
        <v>-0.42486133646629831</v>
      </c>
      <c r="M98" s="68">
        <f t="shared" si="7"/>
        <v>10</v>
      </c>
    </row>
    <row r="99" spans="1:13">
      <c r="A99" s="100" t="str">
        <f>MID(Page012[[#This Row],[Column5]],SEARCH("(",Page012[[#This Row],[Column5]])+1,SEARCH(")",Page012[[#This Row],[Column5]])-SEARCH("(",Page012[[#This Row],[Column5]])-1)</f>
        <v>3.05</v>
      </c>
      <c r="B99" s="68" t="s">
        <v>383</v>
      </c>
      <c r="C99" s="68" t="s">
        <v>292</v>
      </c>
      <c r="D99" s="68" t="s">
        <v>293</v>
      </c>
      <c r="E99" s="68" t="s">
        <v>384</v>
      </c>
      <c r="F99" s="68" t="s">
        <v>371</v>
      </c>
      <c r="G99" s="68">
        <v>7.41</v>
      </c>
      <c r="H99" s="100" t="str">
        <f>MID(Page012[[#This Row],[Column4]],SEARCH("(",Page012[[#This Row],[Column4]])+1,SEARCH(")",Page012[[#This Row],[Column4]])-SEARCH("(",Page012[[#This Row],[Column4]])-1)</f>
        <v>101.6</v>
      </c>
      <c r="I99" s="68">
        <v>101.6</v>
      </c>
      <c r="J99" s="68">
        <f t="shared" si="5"/>
        <v>0</v>
      </c>
      <c r="K99" s="68">
        <f t="shared" si="4"/>
        <v>0</v>
      </c>
      <c r="L99" s="100">
        <f t="shared" si="6"/>
        <v>-0.42486133646629831</v>
      </c>
      <c r="M99" s="68">
        <f t="shared" si="7"/>
        <v>10</v>
      </c>
    </row>
    <row r="100" spans="1:13">
      <c r="A100" s="100" t="str">
        <f>MID(Page012[[#This Row],[Column5]],SEARCH("(",Page012[[#This Row],[Column5]])+1,SEARCH(")",Page012[[#This Row],[Column5]])-SEARCH("(",Page012[[#This Row],[Column5]])-1)</f>
        <v>3.18</v>
      </c>
      <c r="B100" s="68" t="s">
        <v>383</v>
      </c>
      <c r="C100" s="68" t="s">
        <v>292</v>
      </c>
      <c r="D100" s="68" t="s">
        <v>292</v>
      </c>
      <c r="E100" s="68" t="s">
        <v>384</v>
      </c>
      <c r="F100" s="68" t="s">
        <v>358</v>
      </c>
      <c r="G100" s="68">
        <v>7.72</v>
      </c>
      <c r="H100" s="100" t="str">
        <f>MID(Page012[[#This Row],[Column4]],SEARCH("(",Page012[[#This Row],[Column4]])+1,SEARCH(")",Page012[[#This Row],[Column4]])-SEARCH("(",Page012[[#This Row],[Column4]])-1)</f>
        <v>101.6</v>
      </c>
      <c r="I100" s="68">
        <v>101.6</v>
      </c>
      <c r="J100" s="68">
        <f t="shared" si="5"/>
        <v>0</v>
      </c>
      <c r="K100" s="68">
        <f t="shared" si="4"/>
        <v>0</v>
      </c>
      <c r="L100" s="100">
        <f t="shared" si="6"/>
        <v>-0.42486133646629831</v>
      </c>
      <c r="M100" s="68">
        <f t="shared" si="7"/>
        <v>10</v>
      </c>
    </row>
    <row r="101" spans="1:13">
      <c r="A101" s="100" t="str">
        <f>MID(Page012[[#This Row],[Column5]],SEARCH("(",Page012[[#This Row],[Column5]])+1,SEARCH(")",Page012[[#This Row],[Column5]])-SEARCH("(",Page012[[#This Row],[Column5]])-1)</f>
        <v>3.58</v>
      </c>
      <c r="B101" s="68" t="s">
        <v>383</v>
      </c>
      <c r="C101" s="68" t="s">
        <v>292</v>
      </c>
      <c r="D101" s="68" t="s">
        <v>292</v>
      </c>
      <c r="E101" s="68" t="s">
        <v>384</v>
      </c>
      <c r="F101" s="68" t="s">
        <v>364</v>
      </c>
      <c r="G101" s="68">
        <v>8.65</v>
      </c>
      <c r="H101" s="100" t="str">
        <f>MID(Page012[[#This Row],[Column4]],SEARCH("(",Page012[[#This Row],[Column4]])+1,SEARCH(")",Page012[[#This Row],[Column4]])-SEARCH("(",Page012[[#This Row],[Column4]])-1)</f>
        <v>101.6</v>
      </c>
      <c r="I101" s="68">
        <v>101.6</v>
      </c>
      <c r="J101" s="68">
        <f t="shared" si="5"/>
        <v>0</v>
      </c>
      <c r="K101" s="68">
        <f t="shared" si="4"/>
        <v>0</v>
      </c>
      <c r="L101" s="100">
        <f t="shared" si="6"/>
        <v>-0.42486133646629831</v>
      </c>
      <c r="M101" s="68">
        <f t="shared" si="7"/>
        <v>10</v>
      </c>
    </row>
    <row r="102" spans="1:13">
      <c r="A102" s="100" t="str">
        <f>MID(Page012[[#This Row],[Column5]],SEARCH("(",Page012[[#This Row],[Column5]])+1,SEARCH(")",Page012[[#This Row],[Column5]])-SEARCH("(",Page012[[#This Row],[Column5]])-1)</f>
        <v>3.96</v>
      </c>
      <c r="B102" s="68" t="s">
        <v>383</v>
      </c>
      <c r="C102" s="68" t="s">
        <v>292</v>
      </c>
      <c r="D102" s="68" t="s">
        <v>292</v>
      </c>
      <c r="E102" s="68" t="s">
        <v>384</v>
      </c>
      <c r="F102" s="68" t="s">
        <v>372</v>
      </c>
      <c r="G102" s="68">
        <v>9.5399999999999991</v>
      </c>
      <c r="H102" s="100" t="str">
        <f>MID(Page012[[#This Row],[Column4]],SEARCH("(",Page012[[#This Row],[Column4]])+1,SEARCH(")",Page012[[#This Row],[Column4]])-SEARCH("(",Page012[[#This Row],[Column4]])-1)</f>
        <v>101.6</v>
      </c>
      <c r="I102" s="68">
        <v>101.6</v>
      </c>
      <c r="J102" s="68">
        <f t="shared" si="5"/>
        <v>0</v>
      </c>
      <c r="K102" s="68">
        <f t="shared" si="4"/>
        <v>0</v>
      </c>
      <c r="L102" s="100">
        <f t="shared" si="6"/>
        <v>-0.42486133646629831</v>
      </c>
      <c r="M102" s="68">
        <f t="shared" si="7"/>
        <v>10</v>
      </c>
    </row>
    <row r="103" spans="1:13">
      <c r="A103" s="100" t="str">
        <f>MID(Page012[[#This Row],[Column5]],SEARCH("(",Page012[[#This Row],[Column5]])+1,SEARCH(")",Page012[[#This Row],[Column5]])-SEARCH("(",Page012[[#This Row],[Column5]])-1)</f>
        <v>4.37</v>
      </c>
      <c r="B103" s="68" t="s">
        <v>383</v>
      </c>
      <c r="C103" s="68" t="s">
        <v>292</v>
      </c>
      <c r="D103" s="68" t="s">
        <v>292</v>
      </c>
      <c r="E103" s="68" t="s">
        <v>384</v>
      </c>
      <c r="F103" s="68" t="s">
        <v>365</v>
      </c>
      <c r="G103" s="68">
        <v>10.48</v>
      </c>
      <c r="H103" s="100" t="str">
        <f>MID(Page012[[#This Row],[Column4]],SEARCH("(",Page012[[#This Row],[Column4]])+1,SEARCH(")",Page012[[#This Row],[Column4]])-SEARCH("(",Page012[[#This Row],[Column4]])-1)</f>
        <v>101.6</v>
      </c>
      <c r="I103" s="68">
        <v>101.6</v>
      </c>
      <c r="J103" s="68">
        <f t="shared" si="5"/>
        <v>0</v>
      </c>
      <c r="K103" s="68">
        <f t="shared" si="4"/>
        <v>0</v>
      </c>
      <c r="L103" s="100">
        <f t="shared" si="6"/>
        <v>-0.42486133646629831</v>
      </c>
      <c r="M103" s="68">
        <f t="shared" si="7"/>
        <v>10</v>
      </c>
    </row>
    <row r="104" spans="1:13">
      <c r="A104" s="100" t="str">
        <f>MID(Page012[[#This Row],[Column5]],SEARCH("(",Page012[[#This Row],[Column5]])+1,SEARCH(")",Page012[[#This Row],[Column5]])-SEARCH("(",Page012[[#This Row],[Column5]])-1)</f>
        <v>4.78</v>
      </c>
      <c r="B104" s="68" t="s">
        <v>383</v>
      </c>
      <c r="C104" s="68" t="s">
        <v>292</v>
      </c>
      <c r="D104" s="68" t="s">
        <v>297</v>
      </c>
      <c r="E104" s="68" t="s">
        <v>384</v>
      </c>
      <c r="F104" s="68" t="s">
        <v>335</v>
      </c>
      <c r="G104" s="68">
        <v>11.41</v>
      </c>
      <c r="H104" s="100" t="str">
        <f>MID(Page012[[#This Row],[Column4]],SEARCH("(",Page012[[#This Row],[Column4]])+1,SEARCH(")",Page012[[#This Row],[Column4]])-SEARCH("(",Page012[[#This Row],[Column4]])-1)</f>
        <v>101.6</v>
      </c>
      <c r="I104" s="68">
        <v>101.6</v>
      </c>
      <c r="J104" s="68">
        <f t="shared" si="5"/>
        <v>0</v>
      </c>
      <c r="K104" s="68">
        <f t="shared" si="4"/>
        <v>0</v>
      </c>
      <c r="L104" s="100">
        <f t="shared" si="6"/>
        <v>-0.42486133646629831</v>
      </c>
      <c r="M104" s="68">
        <f t="shared" si="7"/>
        <v>10</v>
      </c>
    </row>
    <row r="105" spans="1:13">
      <c r="A105" s="100" t="str">
        <f>MID(Page012[[#This Row],[Column5]],SEARCH("(",Page012[[#This Row],[Column5]])+1,SEARCH(")",Page012[[#This Row],[Column5]])-SEARCH("(",Page012[[#This Row],[Column5]])-1)</f>
        <v>5.74</v>
      </c>
      <c r="B105" s="68" t="s">
        <v>383</v>
      </c>
      <c r="C105" s="68" t="s">
        <v>300</v>
      </c>
      <c r="D105" s="68" t="s">
        <v>301</v>
      </c>
      <c r="E105" s="68" t="s">
        <v>384</v>
      </c>
      <c r="F105" s="68" t="s">
        <v>385</v>
      </c>
      <c r="G105" s="68">
        <v>13.57</v>
      </c>
      <c r="H105" s="100" t="str">
        <f>MID(Page012[[#This Row],[Column4]],SEARCH("(",Page012[[#This Row],[Column4]])+1,SEARCH(")",Page012[[#This Row],[Column4]])-SEARCH("(",Page012[[#This Row],[Column4]])-1)</f>
        <v>101.6</v>
      </c>
      <c r="I105" s="68">
        <v>101.6</v>
      </c>
      <c r="J105" s="68">
        <f t="shared" si="5"/>
        <v>0</v>
      </c>
      <c r="K105" s="68">
        <f t="shared" si="4"/>
        <v>0</v>
      </c>
      <c r="L105" s="100">
        <f t="shared" si="6"/>
        <v>-0.42486133646629831</v>
      </c>
      <c r="M105" s="68">
        <f t="shared" si="7"/>
        <v>10</v>
      </c>
    </row>
    <row r="106" spans="1:13">
      <c r="A106" s="100" t="str">
        <f>MID(Page012[[#This Row],[Column5]],SEARCH("(",Page012[[#This Row],[Column5]])+1,SEARCH(")",Page012[[#This Row],[Column5]])-SEARCH("(",Page012[[#This Row],[Column5]])-1)</f>
        <v>6.35</v>
      </c>
      <c r="B106" s="68" t="s">
        <v>383</v>
      </c>
      <c r="C106" s="68" t="s">
        <v>292</v>
      </c>
      <c r="D106" s="68" t="s">
        <v>292</v>
      </c>
      <c r="E106" s="68" t="s">
        <v>384</v>
      </c>
      <c r="F106" s="68" t="s">
        <v>348</v>
      </c>
      <c r="G106" s="68">
        <v>14.92</v>
      </c>
      <c r="H106" s="100" t="str">
        <f>MID(Page012[[#This Row],[Column4]],SEARCH("(",Page012[[#This Row],[Column4]])+1,SEARCH(")",Page012[[#This Row],[Column4]])-SEARCH("(",Page012[[#This Row],[Column4]])-1)</f>
        <v>101.6</v>
      </c>
      <c r="I106" s="68">
        <v>101.6</v>
      </c>
      <c r="J106" s="68">
        <f t="shared" si="5"/>
        <v>0</v>
      </c>
      <c r="K106" s="68">
        <f t="shared" si="4"/>
        <v>0</v>
      </c>
      <c r="L106" s="100">
        <f t="shared" si="6"/>
        <v>-0.42486133646629831</v>
      </c>
      <c r="M106" s="68">
        <f t="shared" si="7"/>
        <v>10</v>
      </c>
    </row>
    <row r="107" spans="1:13">
      <c r="A107" s="100" t="str">
        <f>MID(Page012[[#This Row],[Column5]],SEARCH("(",Page012[[#This Row],[Column5]])+1,SEARCH(")",Page012[[#This Row],[Column5]])-SEARCH("(",Page012[[#This Row],[Column5]])-1)</f>
        <v>7.14</v>
      </c>
      <c r="B107" s="68" t="s">
        <v>383</v>
      </c>
      <c r="C107" s="68" t="s">
        <v>292</v>
      </c>
      <c r="D107" s="68" t="s">
        <v>292</v>
      </c>
      <c r="E107" s="68" t="s">
        <v>384</v>
      </c>
      <c r="F107" s="68" t="s">
        <v>360</v>
      </c>
      <c r="G107" s="68">
        <v>16.63</v>
      </c>
      <c r="H107" s="100" t="str">
        <f>MID(Page012[[#This Row],[Column4]],SEARCH("(",Page012[[#This Row],[Column4]])+1,SEARCH(")",Page012[[#This Row],[Column4]])-SEARCH("(",Page012[[#This Row],[Column4]])-1)</f>
        <v>101.6</v>
      </c>
      <c r="I107" s="68">
        <v>101.6</v>
      </c>
      <c r="J107" s="68">
        <f t="shared" si="5"/>
        <v>0</v>
      </c>
      <c r="K107" s="68">
        <f t="shared" si="4"/>
        <v>0</v>
      </c>
      <c r="L107" s="100">
        <f t="shared" si="6"/>
        <v>-0.42486133646629831</v>
      </c>
      <c r="M107" s="68">
        <f t="shared" si="7"/>
        <v>10</v>
      </c>
    </row>
    <row r="108" spans="1:13">
      <c r="A108" s="100" t="str">
        <f>MID(Page012[[#This Row],[Column5]],SEARCH("(",Page012[[#This Row],[Column5]])+1,SEARCH(")",Page012[[#This Row],[Column5]])-SEARCH("(",Page012[[#This Row],[Column5]])-1)</f>
        <v>8.08</v>
      </c>
      <c r="B108" s="68" t="s">
        <v>383</v>
      </c>
      <c r="C108" s="68" t="s">
        <v>303</v>
      </c>
      <c r="D108" s="68" t="s">
        <v>304</v>
      </c>
      <c r="E108" s="68" t="s">
        <v>384</v>
      </c>
      <c r="F108" s="68" t="s">
        <v>386</v>
      </c>
      <c r="G108" s="68">
        <v>18.64</v>
      </c>
      <c r="H108" s="100" t="str">
        <f>MID(Page012[[#This Row],[Column4]],SEARCH("(",Page012[[#This Row],[Column4]])+1,SEARCH(")",Page012[[#This Row],[Column4]])-SEARCH("(",Page012[[#This Row],[Column4]])-1)</f>
        <v>101.6</v>
      </c>
      <c r="I108" s="68">
        <v>101.6</v>
      </c>
      <c r="J108" s="68">
        <f t="shared" si="5"/>
        <v>0</v>
      </c>
      <c r="K108" s="68">
        <f t="shared" si="4"/>
        <v>0</v>
      </c>
      <c r="L108" s="100">
        <f t="shared" si="6"/>
        <v>-0.42486133646629831</v>
      </c>
      <c r="M108" s="68">
        <f t="shared" si="7"/>
        <v>10</v>
      </c>
    </row>
    <row r="109" spans="1:13">
      <c r="A109" s="100" t="str">
        <f>MID(Page012[[#This Row],[Column5]],SEARCH("(",Page012[[#This Row],[Column5]])+1,SEARCH(")",Page012[[#This Row],[Column5]])-SEARCH("(",Page012[[#This Row],[Column5]])-1)</f>
        <v>2.11</v>
      </c>
      <c r="B109" s="68" t="s">
        <v>387</v>
      </c>
      <c r="C109" s="68" t="s">
        <v>292</v>
      </c>
      <c r="D109" s="68" t="s">
        <v>330</v>
      </c>
      <c r="E109" s="68" t="s">
        <v>388</v>
      </c>
      <c r="F109" s="68" t="s">
        <v>332</v>
      </c>
      <c r="G109" s="68">
        <v>5.84</v>
      </c>
      <c r="H109" s="100" t="str">
        <f>MID(Page012[[#This Row],[Column4]],SEARCH("(",Page012[[#This Row],[Column4]])+1,SEARCH(")",Page012[[#This Row],[Column4]])-SEARCH("(",Page012[[#This Row],[Column4]])-1)</f>
        <v>114.3</v>
      </c>
      <c r="I109" s="68">
        <v>114.3</v>
      </c>
      <c r="J109" s="68">
        <f t="shared" si="5"/>
        <v>0</v>
      </c>
      <c r="K109" s="68">
        <f t="shared" si="4"/>
        <v>0</v>
      </c>
      <c r="L109" s="100">
        <f t="shared" si="6"/>
        <v>-0.42486133646629831</v>
      </c>
      <c r="M109" s="68">
        <f t="shared" si="7"/>
        <v>10</v>
      </c>
    </row>
    <row r="110" spans="1:13">
      <c r="A110" s="100" t="str">
        <f>MID(Page012[[#This Row],[Column5]],SEARCH("(",Page012[[#This Row],[Column5]])+1,SEARCH(")",Page012[[#This Row],[Column5]])-SEARCH("(",Page012[[#This Row],[Column5]])-1)</f>
        <v>2.77</v>
      </c>
      <c r="B110" s="68" t="s">
        <v>387</v>
      </c>
      <c r="C110" s="68" t="s">
        <v>292</v>
      </c>
      <c r="D110" s="68" t="s">
        <v>292</v>
      </c>
      <c r="E110" s="68" t="s">
        <v>388</v>
      </c>
      <c r="F110" s="68" t="s">
        <v>333</v>
      </c>
      <c r="G110" s="68">
        <v>7.62</v>
      </c>
      <c r="H110" s="100" t="str">
        <f>MID(Page012[[#This Row],[Column4]],SEARCH("(",Page012[[#This Row],[Column4]])+1,SEARCH(")",Page012[[#This Row],[Column4]])-SEARCH("(",Page012[[#This Row],[Column4]])-1)</f>
        <v>114.3</v>
      </c>
      <c r="I110" s="68">
        <v>114.3</v>
      </c>
      <c r="J110" s="68">
        <f t="shared" si="5"/>
        <v>0</v>
      </c>
      <c r="K110" s="68">
        <f t="shared" si="4"/>
        <v>0</v>
      </c>
      <c r="L110" s="100">
        <f t="shared" si="6"/>
        <v>-0.42486133646629831</v>
      </c>
      <c r="M110" s="68">
        <f t="shared" si="7"/>
        <v>10</v>
      </c>
    </row>
    <row r="111" spans="1:13">
      <c r="A111" s="100" t="str">
        <f>MID(Page012[[#This Row],[Column5]],SEARCH("(",Page012[[#This Row],[Column5]])+1,SEARCH(")",Page012[[#This Row],[Column5]])-SEARCH("(",Page012[[#This Row],[Column5]])-1)</f>
        <v>3.05</v>
      </c>
      <c r="B111" s="68" t="s">
        <v>387</v>
      </c>
      <c r="C111" s="68" t="s">
        <v>292</v>
      </c>
      <c r="D111" s="68" t="s">
        <v>293</v>
      </c>
      <c r="E111" s="68" t="s">
        <v>388</v>
      </c>
      <c r="F111" s="68" t="s">
        <v>371</v>
      </c>
      <c r="G111" s="68">
        <v>8.3699999999999992</v>
      </c>
      <c r="H111" s="100" t="str">
        <f>MID(Page012[[#This Row],[Column4]],SEARCH("(",Page012[[#This Row],[Column4]])+1,SEARCH(")",Page012[[#This Row],[Column4]])-SEARCH("(",Page012[[#This Row],[Column4]])-1)</f>
        <v>114.3</v>
      </c>
      <c r="I111" s="68">
        <v>114.3</v>
      </c>
      <c r="J111" s="68">
        <f t="shared" si="5"/>
        <v>0</v>
      </c>
      <c r="K111" s="68">
        <f t="shared" si="4"/>
        <v>0</v>
      </c>
      <c r="L111" s="100">
        <f t="shared" si="6"/>
        <v>-0.42486133646629831</v>
      </c>
      <c r="M111" s="68">
        <f t="shared" si="7"/>
        <v>10</v>
      </c>
    </row>
    <row r="112" spans="1:13">
      <c r="A112" s="100" t="str">
        <f>MID(Page012[[#This Row],[Column5]],SEARCH("(",Page012[[#This Row],[Column5]])+1,SEARCH(")",Page012[[#This Row],[Column5]])-SEARCH("(",Page012[[#This Row],[Column5]])-1)</f>
        <v>3.18</v>
      </c>
      <c r="B112" s="68" t="s">
        <v>387</v>
      </c>
      <c r="C112" s="68" t="s">
        <v>292</v>
      </c>
      <c r="D112" s="68" t="s">
        <v>292</v>
      </c>
      <c r="E112" s="68" t="s">
        <v>388</v>
      </c>
      <c r="F112" s="68" t="s">
        <v>358</v>
      </c>
      <c r="G112" s="68">
        <v>8.7100000000000009</v>
      </c>
      <c r="H112" s="100" t="str">
        <f>MID(Page012[[#This Row],[Column4]],SEARCH("(",Page012[[#This Row],[Column4]])+1,SEARCH(")",Page012[[#This Row],[Column4]])-SEARCH("(",Page012[[#This Row],[Column4]])-1)</f>
        <v>114.3</v>
      </c>
      <c r="I112" s="68">
        <v>114.3</v>
      </c>
      <c r="J112" s="68">
        <f t="shared" si="5"/>
        <v>0</v>
      </c>
      <c r="K112" s="68">
        <f t="shared" si="4"/>
        <v>0</v>
      </c>
      <c r="L112" s="100">
        <f t="shared" si="6"/>
        <v>-0.42486133646629831</v>
      </c>
      <c r="M112" s="68">
        <f t="shared" si="7"/>
        <v>10</v>
      </c>
    </row>
    <row r="113" spans="1:13">
      <c r="A113" s="100" t="str">
        <f>MID(Page012[[#This Row],[Column5]],SEARCH("(",Page012[[#This Row],[Column5]])+1,SEARCH(")",Page012[[#This Row],[Column5]])-SEARCH("(",Page012[[#This Row],[Column5]])-1)</f>
        <v>3.58</v>
      </c>
      <c r="B113" s="68" t="s">
        <v>387</v>
      </c>
      <c r="C113" s="68" t="s">
        <v>292</v>
      </c>
      <c r="D113" s="68" t="s">
        <v>292</v>
      </c>
      <c r="E113" s="68" t="s">
        <v>388</v>
      </c>
      <c r="F113" s="68" t="s">
        <v>364</v>
      </c>
      <c r="G113" s="68">
        <v>9.7799999999999994</v>
      </c>
      <c r="H113" s="100" t="str">
        <f>MID(Page012[[#This Row],[Column4]],SEARCH("(",Page012[[#This Row],[Column4]])+1,SEARCH(")",Page012[[#This Row],[Column4]])-SEARCH("(",Page012[[#This Row],[Column4]])-1)</f>
        <v>114.3</v>
      </c>
      <c r="I113" s="68">
        <v>114.3</v>
      </c>
      <c r="J113" s="68">
        <f t="shared" si="5"/>
        <v>0</v>
      </c>
      <c r="K113" s="68">
        <f t="shared" si="4"/>
        <v>0</v>
      </c>
      <c r="L113" s="100">
        <f t="shared" si="6"/>
        <v>-0.42486133646629831</v>
      </c>
      <c r="M113" s="68">
        <f t="shared" si="7"/>
        <v>10</v>
      </c>
    </row>
    <row r="114" spans="1:13">
      <c r="A114" s="100" t="str">
        <f>MID(Page012[[#This Row],[Column5]],SEARCH("(",Page012[[#This Row],[Column5]])+1,SEARCH(")",Page012[[#This Row],[Column5]])-SEARCH("(",Page012[[#This Row],[Column5]])-1)</f>
        <v>3.96</v>
      </c>
      <c r="B114" s="68" t="s">
        <v>387</v>
      </c>
      <c r="C114" s="68" t="s">
        <v>292</v>
      </c>
      <c r="D114" s="68" t="s">
        <v>292</v>
      </c>
      <c r="E114" s="68" t="s">
        <v>388</v>
      </c>
      <c r="F114" s="68" t="s">
        <v>372</v>
      </c>
      <c r="G114" s="68">
        <v>10.78</v>
      </c>
      <c r="H114" s="100" t="str">
        <f>MID(Page012[[#This Row],[Column4]],SEARCH("(",Page012[[#This Row],[Column4]])+1,SEARCH(")",Page012[[#This Row],[Column4]])-SEARCH("(",Page012[[#This Row],[Column4]])-1)</f>
        <v>114.3</v>
      </c>
      <c r="I114" s="68">
        <v>114.3</v>
      </c>
      <c r="J114" s="68">
        <f t="shared" si="5"/>
        <v>0</v>
      </c>
      <c r="K114" s="68">
        <f t="shared" si="4"/>
        <v>0</v>
      </c>
      <c r="L114" s="100">
        <f t="shared" si="6"/>
        <v>-0.42486133646629831</v>
      </c>
      <c r="M114" s="68">
        <f t="shared" si="7"/>
        <v>10</v>
      </c>
    </row>
    <row r="115" spans="1:13">
      <c r="A115" s="100" t="str">
        <f>MID(Page012[[#This Row],[Column5]],SEARCH("(",Page012[[#This Row],[Column5]])+1,SEARCH(")",Page012[[#This Row],[Column5]])-SEARCH("(",Page012[[#This Row],[Column5]])-1)</f>
        <v>4.37</v>
      </c>
      <c r="B115" s="68" t="s">
        <v>387</v>
      </c>
      <c r="C115" s="68" t="s">
        <v>292</v>
      </c>
      <c r="D115" s="68" t="s">
        <v>292</v>
      </c>
      <c r="E115" s="68" t="s">
        <v>388</v>
      </c>
      <c r="F115" s="68" t="s">
        <v>365</v>
      </c>
      <c r="G115" s="68">
        <v>11.85</v>
      </c>
      <c r="H115" s="100" t="str">
        <f>MID(Page012[[#This Row],[Column4]],SEARCH("(",Page012[[#This Row],[Column4]])+1,SEARCH(")",Page012[[#This Row],[Column4]])-SEARCH("(",Page012[[#This Row],[Column4]])-1)</f>
        <v>114.3</v>
      </c>
      <c r="I115" s="68">
        <v>114.3</v>
      </c>
      <c r="J115" s="68">
        <f t="shared" si="5"/>
        <v>0</v>
      </c>
      <c r="K115" s="68">
        <f t="shared" si="4"/>
        <v>0</v>
      </c>
      <c r="L115" s="100">
        <f t="shared" si="6"/>
        <v>-0.42486133646629831</v>
      </c>
      <c r="M115" s="68">
        <f t="shared" si="7"/>
        <v>10</v>
      </c>
    </row>
    <row r="116" spans="1:13">
      <c r="A116" s="100" t="str">
        <f>MID(Page012[[#This Row],[Column5]],SEARCH("(",Page012[[#This Row],[Column5]])+1,SEARCH(")",Page012[[#This Row],[Column5]])-SEARCH("(",Page012[[#This Row],[Column5]])-1)</f>
        <v>4.78</v>
      </c>
      <c r="B116" s="68" t="s">
        <v>387</v>
      </c>
      <c r="C116" s="68" t="s">
        <v>292</v>
      </c>
      <c r="D116" s="68" t="s">
        <v>297</v>
      </c>
      <c r="E116" s="68" t="s">
        <v>388</v>
      </c>
      <c r="F116" s="68" t="s">
        <v>335</v>
      </c>
      <c r="G116" s="68">
        <v>12.91</v>
      </c>
      <c r="H116" s="100" t="str">
        <f>MID(Page012[[#This Row],[Column4]],SEARCH("(",Page012[[#This Row],[Column4]])+1,SEARCH(")",Page012[[#This Row],[Column4]])-SEARCH("(",Page012[[#This Row],[Column4]])-1)</f>
        <v>114.3</v>
      </c>
      <c r="I116" s="68">
        <v>114.3</v>
      </c>
      <c r="J116" s="68">
        <f t="shared" si="5"/>
        <v>0</v>
      </c>
      <c r="K116" s="68">
        <f t="shared" si="4"/>
        <v>0</v>
      </c>
      <c r="L116" s="100">
        <f t="shared" si="6"/>
        <v>-0.42486133646629831</v>
      </c>
      <c r="M116" s="68">
        <f t="shared" si="7"/>
        <v>10</v>
      </c>
    </row>
    <row r="117" spans="1:13">
      <c r="A117" s="100" t="str">
        <f>MID(Page012[[#This Row],[Column5]],SEARCH("(",Page012[[#This Row],[Column5]])+1,SEARCH(")",Page012[[#This Row],[Column5]])-SEARCH("(",Page012[[#This Row],[Column5]])-1)</f>
        <v>5.16</v>
      </c>
      <c r="B117" s="68" t="s">
        <v>387</v>
      </c>
      <c r="C117" s="68" t="s">
        <v>292</v>
      </c>
      <c r="D117" s="68" t="s">
        <v>292</v>
      </c>
      <c r="E117" s="68" t="s">
        <v>388</v>
      </c>
      <c r="F117" s="68" t="s">
        <v>373</v>
      </c>
      <c r="G117" s="68">
        <v>13.89</v>
      </c>
      <c r="H117" s="100" t="str">
        <f>MID(Page012[[#This Row],[Column4]],SEARCH("(",Page012[[#This Row],[Column4]])+1,SEARCH(")",Page012[[#This Row],[Column4]])-SEARCH("(",Page012[[#This Row],[Column4]])-1)</f>
        <v>114.3</v>
      </c>
      <c r="I117" s="68">
        <v>114.3</v>
      </c>
      <c r="J117" s="68">
        <f t="shared" si="5"/>
        <v>0</v>
      </c>
      <c r="K117" s="68">
        <f t="shared" si="4"/>
        <v>0</v>
      </c>
      <c r="L117" s="100">
        <f t="shared" si="6"/>
        <v>-0.42486133646629831</v>
      </c>
      <c r="M117" s="68">
        <f t="shared" si="7"/>
        <v>10</v>
      </c>
    </row>
    <row r="118" spans="1:13">
      <c r="A118" s="100" t="str">
        <f>MID(Page012[[#This Row],[Column5]],SEARCH("(",Page012[[#This Row],[Column5]])+1,SEARCH(")",Page012[[#This Row],[Column5]])-SEARCH("(",Page012[[#This Row],[Column5]])-1)</f>
        <v>5.56</v>
      </c>
      <c r="B118" s="68" t="s">
        <v>387</v>
      </c>
      <c r="C118" s="68" t="s">
        <v>292</v>
      </c>
      <c r="D118" s="68" t="s">
        <v>292</v>
      </c>
      <c r="E118" s="68" t="s">
        <v>388</v>
      </c>
      <c r="F118" s="68" t="s">
        <v>341</v>
      </c>
      <c r="G118" s="68">
        <v>14.91</v>
      </c>
      <c r="H118" s="100" t="str">
        <f>MID(Page012[[#This Row],[Column4]],SEARCH("(",Page012[[#This Row],[Column4]])+1,SEARCH(")",Page012[[#This Row],[Column4]])-SEARCH("(",Page012[[#This Row],[Column4]])-1)</f>
        <v>114.3</v>
      </c>
      <c r="I118" s="68">
        <v>114.3</v>
      </c>
      <c r="J118" s="68">
        <f t="shared" si="5"/>
        <v>0</v>
      </c>
      <c r="K118" s="68">
        <f t="shared" si="4"/>
        <v>0</v>
      </c>
      <c r="L118" s="100">
        <f t="shared" si="6"/>
        <v>-0.42486133646629831</v>
      </c>
      <c r="M118" s="68">
        <f t="shared" si="7"/>
        <v>10</v>
      </c>
    </row>
    <row r="119" spans="1:13">
      <c r="A119" s="100" t="str">
        <f>MID(Page012[[#This Row],[Column5]],SEARCH("(",Page012[[#This Row],[Column5]])+1,SEARCH(")",Page012[[#This Row],[Column5]])-SEARCH("(",Page012[[#This Row],[Column5]])-1)</f>
        <v>6.02</v>
      </c>
      <c r="B119" s="68" t="s">
        <v>387</v>
      </c>
      <c r="C119" s="68" t="s">
        <v>300</v>
      </c>
      <c r="D119" s="68" t="s">
        <v>301</v>
      </c>
      <c r="E119" s="68" t="s">
        <v>388</v>
      </c>
      <c r="F119" s="68" t="s">
        <v>389</v>
      </c>
      <c r="G119" s="68">
        <v>16.079999999999998</v>
      </c>
      <c r="H119" s="100" t="str">
        <f>MID(Page012[[#This Row],[Column4]],SEARCH("(",Page012[[#This Row],[Column4]])+1,SEARCH(")",Page012[[#This Row],[Column4]])-SEARCH("(",Page012[[#This Row],[Column4]])-1)</f>
        <v>114.3</v>
      </c>
      <c r="I119" s="68">
        <v>114.3</v>
      </c>
      <c r="J119" s="68">
        <f t="shared" si="5"/>
        <v>0</v>
      </c>
      <c r="K119" s="68">
        <f t="shared" si="4"/>
        <v>0</v>
      </c>
      <c r="L119" s="100">
        <f t="shared" si="6"/>
        <v>-0.42486133646629831</v>
      </c>
      <c r="M119" s="68">
        <f t="shared" si="7"/>
        <v>10</v>
      </c>
    </row>
    <row r="120" spans="1:13">
      <c r="A120" s="100" t="str">
        <f>MID(Page012[[#This Row],[Column5]],SEARCH("(",Page012[[#This Row],[Column5]])+1,SEARCH(")",Page012[[#This Row],[Column5]])-SEARCH("(",Page012[[#This Row],[Column5]])-1)</f>
        <v>6.35</v>
      </c>
      <c r="B120" s="68" t="s">
        <v>387</v>
      </c>
      <c r="C120" s="68" t="s">
        <v>292</v>
      </c>
      <c r="D120" s="68" t="s">
        <v>292</v>
      </c>
      <c r="E120" s="68" t="s">
        <v>388</v>
      </c>
      <c r="F120" s="68" t="s">
        <v>348</v>
      </c>
      <c r="G120" s="68">
        <v>16.91</v>
      </c>
      <c r="H120" s="100" t="str">
        <f>MID(Page012[[#This Row],[Column4]],SEARCH("(",Page012[[#This Row],[Column4]])+1,SEARCH(")",Page012[[#This Row],[Column4]])-SEARCH("(",Page012[[#This Row],[Column4]])-1)</f>
        <v>114.3</v>
      </c>
      <c r="I120" s="68">
        <v>114.3</v>
      </c>
      <c r="J120" s="68">
        <f t="shared" si="5"/>
        <v>0</v>
      </c>
      <c r="K120" s="68">
        <f t="shared" si="4"/>
        <v>0</v>
      </c>
      <c r="L120" s="100">
        <f t="shared" si="6"/>
        <v>-0.42486133646629831</v>
      </c>
      <c r="M120" s="68">
        <f t="shared" si="7"/>
        <v>10</v>
      </c>
    </row>
    <row r="121" spans="1:13">
      <c r="A121" s="100" t="str">
        <f>MID(Page012[[#This Row],[Column5]],SEARCH("(",Page012[[#This Row],[Column5]])+1,SEARCH(")",Page012[[#This Row],[Column5]])-SEARCH("(",Page012[[#This Row],[Column5]])-1)</f>
        <v>7.14</v>
      </c>
      <c r="B121" s="68" t="s">
        <v>387</v>
      </c>
      <c r="C121" s="68" t="s">
        <v>292</v>
      </c>
      <c r="D121" s="68" t="s">
        <v>292</v>
      </c>
      <c r="E121" s="68" t="s">
        <v>388</v>
      </c>
      <c r="F121" s="68" t="s">
        <v>360</v>
      </c>
      <c r="G121" s="68">
        <v>18.87</v>
      </c>
      <c r="H121" s="100" t="str">
        <f>MID(Page012[[#This Row],[Column4]],SEARCH("(",Page012[[#This Row],[Column4]])+1,SEARCH(")",Page012[[#This Row],[Column4]])-SEARCH("(",Page012[[#This Row],[Column4]])-1)</f>
        <v>114.3</v>
      </c>
      <c r="I121" s="68">
        <v>114.3</v>
      </c>
      <c r="J121" s="68">
        <f t="shared" si="5"/>
        <v>0</v>
      </c>
      <c r="K121" s="68">
        <f t="shared" si="4"/>
        <v>0</v>
      </c>
      <c r="L121" s="100">
        <f t="shared" si="6"/>
        <v>-0.42486133646629831</v>
      </c>
      <c r="M121" s="68">
        <f t="shared" si="7"/>
        <v>10</v>
      </c>
    </row>
    <row r="122" spans="1:13">
      <c r="A122" s="100" t="str">
        <f>MID(Page012[[#This Row],[Column5]],SEARCH("(",Page012[[#This Row],[Column5]])+1,SEARCH(")",Page012[[#This Row],[Column5]])-SEARCH("(",Page012[[#This Row],[Column5]])-1)</f>
        <v>7.92</v>
      </c>
      <c r="B122" s="68" t="s">
        <v>387</v>
      </c>
      <c r="C122" s="68" t="s">
        <v>292</v>
      </c>
      <c r="D122" s="68" t="s">
        <v>292</v>
      </c>
      <c r="E122" s="68" t="s">
        <v>388</v>
      </c>
      <c r="F122" s="68" t="s">
        <v>390</v>
      </c>
      <c r="G122" s="68">
        <v>20.78</v>
      </c>
      <c r="H122" s="100" t="str">
        <f>MID(Page012[[#This Row],[Column4]],SEARCH("(",Page012[[#This Row],[Column4]])+1,SEARCH(")",Page012[[#This Row],[Column4]])-SEARCH("(",Page012[[#This Row],[Column4]])-1)</f>
        <v>114.3</v>
      </c>
      <c r="I122" s="68">
        <v>114.3</v>
      </c>
      <c r="J122" s="68">
        <f t="shared" si="5"/>
        <v>0</v>
      </c>
      <c r="K122" s="68">
        <f t="shared" si="4"/>
        <v>0</v>
      </c>
      <c r="L122" s="100">
        <f t="shared" si="6"/>
        <v>-0.42486133646629831</v>
      </c>
      <c r="M122" s="68">
        <f t="shared" si="7"/>
        <v>10</v>
      </c>
    </row>
    <row r="123" spans="1:13">
      <c r="A123" s="100" t="str">
        <f>MID(Page012[[#This Row],[Column5]],SEARCH("(",Page012[[#This Row],[Column5]])+1,SEARCH(")",Page012[[#This Row],[Column5]])-SEARCH("(",Page012[[#This Row],[Column5]])-1)</f>
        <v>8.56</v>
      </c>
      <c r="B123" s="68" t="s">
        <v>387</v>
      </c>
      <c r="C123" s="68" t="s">
        <v>303</v>
      </c>
      <c r="D123" s="68" t="s">
        <v>304</v>
      </c>
      <c r="E123" s="68" t="s">
        <v>388</v>
      </c>
      <c r="F123" s="68" t="s">
        <v>391</v>
      </c>
      <c r="G123" s="68">
        <v>22.32</v>
      </c>
      <c r="H123" s="100" t="str">
        <f>MID(Page012[[#This Row],[Column4]],SEARCH("(",Page012[[#This Row],[Column4]])+1,SEARCH(")",Page012[[#This Row],[Column4]])-SEARCH("(",Page012[[#This Row],[Column4]])-1)</f>
        <v>114.3</v>
      </c>
      <c r="I123" s="68">
        <v>114.3</v>
      </c>
      <c r="J123" s="68">
        <f t="shared" si="5"/>
        <v>0</v>
      </c>
      <c r="K123" s="68">
        <f t="shared" si="4"/>
        <v>0</v>
      </c>
      <c r="L123" s="100">
        <f t="shared" si="6"/>
        <v>-0.42486133646629831</v>
      </c>
      <c r="M123" s="68">
        <f t="shared" si="7"/>
        <v>10</v>
      </c>
    </row>
    <row r="124" spans="1:13">
      <c r="A124" s="100" t="str">
        <f>MID(Page012[[#This Row],[Column5]],SEARCH("(",Page012[[#This Row],[Column5]])+1,SEARCH(")",Page012[[#This Row],[Column5]])-SEARCH("(",Page012[[#This Row],[Column5]])-1)</f>
        <v>11.13</v>
      </c>
      <c r="B124" s="68" t="s">
        <v>387</v>
      </c>
      <c r="C124" s="68" t="s">
        <v>292</v>
      </c>
      <c r="D124" s="68" t="s">
        <v>392</v>
      </c>
      <c r="E124" s="68" t="s">
        <v>388</v>
      </c>
      <c r="F124" s="68" t="s">
        <v>381</v>
      </c>
      <c r="G124" s="68">
        <v>28.32</v>
      </c>
      <c r="H124" s="100" t="str">
        <f>MID(Page012[[#This Row],[Column4]],SEARCH("(",Page012[[#This Row],[Column4]])+1,SEARCH(")",Page012[[#This Row],[Column4]])-SEARCH("(",Page012[[#This Row],[Column4]])-1)</f>
        <v>114.3</v>
      </c>
      <c r="I124" s="68">
        <v>114.3</v>
      </c>
      <c r="J124" s="68">
        <f t="shared" si="5"/>
        <v>0</v>
      </c>
      <c r="K124" s="68">
        <f t="shared" si="4"/>
        <v>0</v>
      </c>
      <c r="L124" s="100">
        <f t="shared" si="6"/>
        <v>-0.42486133646629831</v>
      </c>
      <c r="M124" s="68">
        <f t="shared" si="7"/>
        <v>10</v>
      </c>
    </row>
    <row r="125" spans="1:13">
      <c r="A125" s="100" t="str">
        <f>MID(Page012[[#This Row],[Column5]],SEARCH("(",Page012[[#This Row],[Column5]])+1,SEARCH(")",Page012[[#This Row],[Column5]])-SEARCH("(",Page012[[#This Row],[Column5]])-1)</f>
        <v>13.49</v>
      </c>
      <c r="B125" s="68" t="s">
        <v>387</v>
      </c>
      <c r="C125" s="68" t="s">
        <v>292</v>
      </c>
      <c r="D125" s="68" t="s">
        <v>306</v>
      </c>
      <c r="E125" s="68" t="s">
        <v>388</v>
      </c>
      <c r="F125" s="68" t="s">
        <v>393</v>
      </c>
      <c r="G125" s="68">
        <v>33.54</v>
      </c>
      <c r="H125" s="100" t="str">
        <f>MID(Page012[[#This Row],[Column4]],SEARCH("(",Page012[[#This Row],[Column4]])+1,SEARCH(")",Page012[[#This Row],[Column4]])-SEARCH("(",Page012[[#This Row],[Column4]])-1)</f>
        <v>114.3</v>
      </c>
      <c r="I125" s="68">
        <v>114.3</v>
      </c>
      <c r="J125" s="68">
        <f t="shared" si="5"/>
        <v>0</v>
      </c>
      <c r="K125" s="68">
        <f t="shared" si="4"/>
        <v>0</v>
      </c>
      <c r="L125" s="100">
        <f t="shared" si="6"/>
        <v>-0.42486133646629831</v>
      </c>
      <c r="M125" s="68">
        <f t="shared" si="7"/>
        <v>10</v>
      </c>
    </row>
    <row r="126" spans="1:13">
      <c r="A126" s="100" t="str">
        <f>MID(Page012[[#This Row],[Column5]],SEARCH("(",Page012[[#This Row],[Column5]])+1,SEARCH(")",Page012[[#This Row],[Column5]])-SEARCH("(",Page012[[#This Row],[Column5]])-1)</f>
        <v>17.12</v>
      </c>
      <c r="B126" s="68" t="s">
        <v>387</v>
      </c>
      <c r="C126" s="68" t="s">
        <v>308</v>
      </c>
      <c r="D126" s="68" t="s">
        <v>292</v>
      </c>
      <c r="E126" s="68" t="s">
        <v>388</v>
      </c>
      <c r="F126" s="68" t="s">
        <v>394</v>
      </c>
      <c r="G126" s="68">
        <v>41.03</v>
      </c>
      <c r="H126" s="100" t="str">
        <f>MID(Page012[[#This Row],[Column4]],SEARCH("(",Page012[[#This Row],[Column4]])+1,SEARCH(")",Page012[[#This Row],[Column4]])-SEARCH("(",Page012[[#This Row],[Column4]])-1)</f>
        <v>114.3</v>
      </c>
      <c r="I126" s="68">
        <v>114.3</v>
      </c>
      <c r="J126" s="68">
        <f t="shared" si="5"/>
        <v>0</v>
      </c>
      <c r="K126" s="68">
        <f t="shared" si="4"/>
        <v>0</v>
      </c>
      <c r="L126" s="100">
        <f t="shared" si="6"/>
        <v>-0.42486133646629831</v>
      </c>
      <c r="M126" s="68">
        <f t="shared" si="7"/>
        <v>10</v>
      </c>
    </row>
    <row r="127" spans="1:13">
      <c r="A127" s="100" t="str">
        <f>MID(Page012[[#This Row],[Column5]],SEARCH("(",Page012[[#This Row],[Column5]])+1,SEARCH(")",Page012[[#This Row],[Column5]])-SEARCH("(",Page012[[#This Row],[Column5]])-1)</f>
        <v>2.11</v>
      </c>
      <c r="B127" s="68" t="s">
        <v>395</v>
      </c>
      <c r="C127" s="68" t="s">
        <v>292</v>
      </c>
      <c r="D127" s="68" t="s">
        <v>292</v>
      </c>
      <c r="E127" s="68" t="s">
        <v>396</v>
      </c>
      <c r="F127" s="68" t="s">
        <v>332</v>
      </c>
      <c r="G127" s="68">
        <v>7.24</v>
      </c>
      <c r="H127" s="100" t="str">
        <f>MID(Page012[[#This Row],[Column4]],SEARCH("(",Page012[[#This Row],[Column4]])+1,SEARCH(")",Page012[[#This Row],[Column4]])-SEARCH("(",Page012[[#This Row],[Column4]])-1)</f>
        <v>141.3</v>
      </c>
      <c r="I127" s="68">
        <v>141.30000000000001</v>
      </c>
      <c r="J127" s="68">
        <f t="shared" si="5"/>
        <v>0</v>
      </c>
      <c r="K127" s="68">
        <f t="shared" si="4"/>
        <v>0</v>
      </c>
      <c r="L127" s="100">
        <f t="shared" si="6"/>
        <v>-0.42486133646629831</v>
      </c>
      <c r="M127" s="68">
        <f t="shared" si="7"/>
        <v>10</v>
      </c>
    </row>
    <row r="128" spans="1:13">
      <c r="A128" s="100" t="str">
        <f>MID(Page012[[#This Row],[Column5]],SEARCH("(",Page012[[#This Row],[Column5]])+1,SEARCH(")",Page012[[#This Row],[Column5]])-SEARCH("(",Page012[[#This Row],[Column5]])-1)</f>
        <v>2.77</v>
      </c>
      <c r="B128" s="68" t="s">
        <v>395</v>
      </c>
      <c r="C128" s="68" t="s">
        <v>292</v>
      </c>
      <c r="D128" s="68" t="s">
        <v>330</v>
      </c>
      <c r="E128" s="68" t="s">
        <v>396</v>
      </c>
      <c r="F128" s="68" t="s">
        <v>333</v>
      </c>
      <c r="G128" s="68">
        <v>9.4600000000000009</v>
      </c>
      <c r="H128" s="100" t="str">
        <f>MID(Page012[[#This Row],[Column4]],SEARCH("(",Page012[[#This Row],[Column4]])+1,SEARCH(")",Page012[[#This Row],[Column4]])-SEARCH("(",Page012[[#This Row],[Column4]])-1)</f>
        <v>141.3</v>
      </c>
      <c r="I128" s="68">
        <v>141.30000000000001</v>
      </c>
      <c r="J128" s="68">
        <f t="shared" si="5"/>
        <v>0</v>
      </c>
      <c r="K128" s="68">
        <f t="shared" si="4"/>
        <v>0</v>
      </c>
      <c r="L128" s="100">
        <f t="shared" si="6"/>
        <v>-0.42486133646629831</v>
      </c>
      <c r="M128" s="68">
        <f t="shared" si="7"/>
        <v>10</v>
      </c>
    </row>
    <row r="129" spans="1:13">
      <c r="A129" s="100" t="str">
        <f>MID(Page012[[#This Row],[Column5]],SEARCH("(",Page012[[#This Row],[Column5]])+1,SEARCH(")",Page012[[#This Row],[Column5]])-SEARCH("(",Page012[[#This Row],[Column5]])-1)</f>
        <v>3.18</v>
      </c>
      <c r="B129" s="68" t="s">
        <v>395</v>
      </c>
      <c r="C129" s="68" t="s">
        <v>292</v>
      </c>
      <c r="D129" s="68" t="s">
        <v>292</v>
      </c>
      <c r="E129" s="68" t="s">
        <v>396</v>
      </c>
      <c r="F129" s="68" t="s">
        <v>358</v>
      </c>
      <c r="G129" s="68">
        <v>10.83</v>
      </c>
      <c r="H129" s="100" t="str">
        <f>MID(Page012[[#This Row],[Column4]],SEARCH("(",Page012[[#This Row],[Column4]])+1,SEARCH(")",Page012[[#This Row],[Column4]])-SEARCH("(",Page012[[#This Row],[Column4]])-1)</f>
        <v>141.3</v>
      </c>
      <c r="I129" s="68">
        <v>141.30000000000001</v>
      </c>
      <c r="J129" s="68">
        <f t="shared" si="5"/>
        <v>0</v>
      </c>
      <c r="K129" s="68">
        <f t="shared" si="4"/>
        <v>0</v>
      </c>
      <c r="L129" s="100">
        <f t="shared" si="6"/>
        <v>-0.42486133646629831</v>
      </c>
      <c r="M129" s="68">
        <f t="shared" si="7"/>
        <v>10</v>
      </c>
    </row>
    <row r="130" spans="1:13">
      <c r="A130" s="100" t="str">
        <f>MID(Page012[[#This Row],[Column5]],SEARCH("(",Page012[[#This Row],[Column5]])+1,SEARCH(")",Page012[[#This Row],[Column5]])-SEARCH("(",Page012[[#This Row],[Column5]])-1)</f>
        <v>3.40</v>
      </c>
      <c r="B130" s="68" t="s">
        <v>395</v>
      </c>
      <c r="C130" s="68" t="s">
        <v>292</v>
      </c>
      <c r="D130" s="68" t="s">
        <v>293</v>
      </c>
      <c r="E130" s="68" t="s">
        <v>396</v>
      </c>
      <c r="F130" s="68" t="s">
        <v>397</v>
      </c>
      <c r="G130" s="68">
        <v>11.56</v>
      </c>
      <c r="H130" s="100" t="str">
        <f>MID(Page012[[#This Row],[Column4]],SEARCH("(",Page012[[#This Row],[Column4]])+1,SEARCH(")",Page012[[#This Row],[Column4]])-SEARCH("(",Page012[[#This Row],[Column4]])-1)</f>
        <v>141.3</v>
      </c>
      <c r="I130" s="68">
        <v>141.30000000000001</v>
      </c>
      <c r="J130" s="68">
        <f t="shared" si="5"/>
        <v>0</v>
      </c>
      <c r="K130" s="68">
        <f t="shared" ref="K130:K193" si="8">IF(IF(I130&gt;=$Q$3,I130,$Q$2+10)&lt;=$Q$2,A130,0)</f>
        <v>0</v>
      </c>
      <c r="L130" s="100">
        <f t="shared" si="6"/>
        <v>-0.42486133646629831</v>
      </c>
      <c r="M130" s="68">
        <f t="shared" si="7"/>
        <v>10</v>
      </c>
    </row>
    <row r="131" spans="1:13">
      <c r="A131" s="100" t="str">
        <f>MID(Page012[[#This Row],[Column5]],SEARCH("(",Page012[[#This Row],[Column5]])+1,SEARCH(")",Page012[[#This Row],[Column5]])-SEARCH("(",Page012[[#This Row],[Column5]])-1)</f>
        <v>3.96</v>
      </c>
      <c r="B131" s="68" t="s">
        <v>395</v>
      </c>
      <c r="C131" s="68" t="s">
        <v>292</v>
      </c>
      <c r="D131" s="68" t="s">
        <v>292</v>
      </c>
      <c r="E131" s="68" t="s">
        <v>396</v>
      </c>
      <c r="F131" s="68" t="s">
        <v>372</v>
      </c>
      <c r="G131" s="68">
        <v>13.41</v>
      </c>
      <c r="H131" s="100" t="str">
        <f>MID(Page012[[#This Row],[Column4]],SEARCH("(",Page012[[#This Row],[Column4]])+1,SEARCH(")",Page012[[#This Row],[Column4]])-SEARCH("(",Page012[[#This Row],[Column4]])-1)</f>
        <v>141.3</v>
      </c>
      <c r="I131" s="68">
        <v>141.30000000000001</v>
      </c>
      <c r="J131" s="68">
        <f t="shared" ref="J131:J194" si="9">IF(IF(I131&gt;=$Q$3,I131,$Q$2+10)&lt;=$Q$2,I131,0)</f>
        <v>0</v>
      </c>
      <c r="K131" s="68">
        <f t="shared" si="8"/>
        <v>0</v>
      </c>
      <c r="L131" s="100">
        <f t="shared" ref="L131:L194" si="10">K131-$Q$1</f>
        <v>-0.42486133646629831</v>
      </c>
      <c r="M131" s="68">
        <f t="shared" si="7"/>
        <v>10</v>
      </c>
    </row>
    <row r="132" spans="1:13">
      <c r="A132" s="100" t="str">
        <f>MID(Page012[[#This Row],[Column5]],SEARCH("(",Page012[[#This Row],[Column5]])+1,SEARCH(")",Page012[[#This Row],[Column5]])-SEARCH("(",Page012[[#This Row],[Column5]])-1)</f>
        <v>4.78</v>
      </c>
      <c r="B132" s="68" t="s">
        <v>395</v>
      </c>
      <c r="C132" s="68" t="s">
        <v>292</v>
      </c>
      <c r="D132" s="68" t="s">
        <v>292</v>
      </c>
      <c r="E132" s="68" t="s">
        <v>396</v>
      </c>
      <c r="F132" s="68" t="s">
        <v>335</v>
      </c>
      <c r="G132" s="68">
        <v>16.09</v>
      </c>
      <c r="H132" s="100" t="str">
        <f>MID(Page012[[#This Row],[Column4]],SEARCH("(",Page012[[#This Row],[Column4]])+1,SEARCH(")",Page012[[#This Row],[Column4]])-SEARCH("(",Page012[[#This Row],[Column4]])-1)</f>
        <v>141.3</v>
      </c>
      <c r="I132" s="68">
        <v>141.30000000000001</v>
      </c>
      <c r="J132" s="68">
        <f t="shared" si="9"/>
        <v>0</v>
      </c>
      <c r="K132" s="68">
        <f t="shared" si="8"/>
        <v>0</v>
      </c>
      <c r="L132" s="100">
        <f t="shared" si="10"/>
        <v>-0.42486133646629831</v>
      </c>
      <c r="M132" s="68">
        <f t="shared" ref="M132:M195" si="11">IF(L132&lt;0,10,L132)</f>
        <v>10</v>
      </c>
    </row>
    <row r="133" spans="1:13">
      <c r="A133" s="100" t="str">
        <f>MID(Page012[[#This Row],[Column5]],SEARCH("(",Page012[[#This Row],[Column5]])+1,SEARCH(")",Page012[[#This Row],[Column5]])-SEARCH("(",Page012[[#This Row],[Column5]])-1)</f>
        <v>5.56</v>
      </c>
      <c r="B133" s="68" t="s">
        <v>395</v>
      </c>
      <c r="C133" s="68" t="s">
        <v>292</v>
      </c>
      <c r="D133" s="68" t="s">
        <v>292</v>
      </c>
      <c r="E133" s="68" t="s">
        <v>396</v>
      </c>
      <c r="F133" s="68" t="s">
        <v>341</v>
      </c>
      <c r="G133" s="68">
        <v>18.61</v>
      </c>
      <c r="H133" s="100" t="str">
        <f>MID(Page012[[#This Row],[Column4]],SEARCH("(",Page012[[#This Row],[Column4]])+1,SEARCH(")",Page012[[#This Row],[Column4]])-SEARCH("(",Page012[[#This Row],[Column4]])-1)</f>
        <v>141.3</v>
      </c>
      <c r="I133" s="68">
        <v>141.30000000000001</v>
      </c>
      <c r="J133" s="68">
        <f t="shared" si="9"/>
        <v>0</v>
      </c>
      <c r="K133" s="68">
        <f t="shared" si="8"/>
        <v>0</v>
      </c>
      <c r="L133" s="100">
        <f t="shared" si="10"/>
        <v>-0.42486133646629831</v>
      </c>
      <c r="M133" s="68">
        <f t="shared" si="11"/>
        <v>10</v>
      </c>
    </row>
    <row r="134" spans="1:13">
      <c r="A134" s="100" t="str">
        <f>MID(Page012[[#This Row],[Column5]],SEARCH("(",Page012[[#This Row],[Column5]])+1,SEARCH(")",Page012[[#This Row],[Column5]])-SEARCH("(",Page012[[#This Row],[Column5]])-1)</f>
        <v>6.55</v>
      </c>
      <c r="B134" s="68" t="s">
        <v>395</v>
      </c>
      <c r="C134" s="68" t="s">
        <v>300</v>
      </c>
      <c r="D134" s="68" t="s">
        <v>301</v>
      </c>
      <c r="E134" s="68" t="s">
        <v>396</v>
      </c>
      <c r="F134" s="68" t="s">
        <v>398</v>
      </c>
      <c r="G134" s="68">
        <v>21.77</v>
      </c>
      <c r="H134" s="100" t="str">
        <f>MID(Page012[[#This Row],[Column4]],SEARCH("(",Page012[[#This Row],[Column4]])+1,SEARCH(")",Page012[[#This Row],[Column4]])-SEARCH("(",Page012[[#This Row],[Column4]])-1)</f>
        <v>141.3</v>
      </c>
      <c r="I134" s="68">
        <v>141.30000000000001</v>
      </c>
      <c r="J134" s="68">
        <f t="shared" si="9"/>
        <v>0</v>
      </c>
      <c r="K134" s="68">
        <f t="shared" si="8"/>
        <v>0</v>
      </c>
      <c r="L134" s="100">
        <f t="shared" si="10"/>
        <v>-0.42486133646629831</v>
      </c>
      <c r="M134" s="68">
        <f t="shared" si="11"/>
        <v>10</v>
      </c>
    </row>
    <row r="135" spans="1:13">
      <c r="A135" s="100" t="str">
        <f>MID(Page012[[#This Row],[Column5]],SEARCH("(",Page012[[#This Row],[Column5]])+1,SEARCH(")",Page012[[#This Row],[Column5]])-SEARCH("(",Page012[[#This Row],[Column5]])-1)</f>
        <v>7.14</v>
      </c>
      <c r="B135" s="68" t="s">
        <v>395</v>
      </c>
      <c r="C135" s="68" t="s">
        <v>292</v>
      </c>
      <c r="D135" s="68" t="s">
        <v>292</v>
      </c>
      <c r="E135" s="68" t="s">
        <v>396</v>
      </c>
      <c r="F135" s="68" t="s">
        <v>360</v>
      </c>
      <c r="G135" s="68">
        <v>23.62</v>
      </c>
      <c r="H135" s="100" t="str">
        <f>MID(Page012[[#This Row],[Column4]],SEARCH("(",Page012[[#This Row],[Column4]])+1,SEARCH(")",Page012[[#This Row],[Column4]])-SEARCH("(",Page012[[#This Row],[Column4]])-1)</f>
        <v>141.3</v>
      </c>
      <c r="I135" s="68">
        <v>141.30000000000001</v>
      </c>
      <c r="J135" s="68">
        <f t="shared" si="9"/>
        <v>0</v>
      </c>
      <c r="K135" s="68">
        <f t="shared" si="8"/>
        <v>0</v>
      </c>
      <c r="L135" s="100">
        <f t="shared" si="10"/>
        <v>-0.42486133646629831</v>
      </c>
      <c r="M135" s="68">
        <f t="shared" si="11"/>
        <v>10</v>
      </c>
    </row>
    <row r="136" spans="1:13">
      <c r="A136" s="100" t="str">
        <f>MID(Page012[[#This Row],[Column5]],SEARCH("(",Page012[[#This Row],[Column5]])+1,SEARCH(")",Page012[[#This Row],[Column5]])-SEARCH("(",Page012[[#This Row],[Column5]])-1)</f>
        <v>7.92</v>
      </c>
      <c r="B136" s="68" t="s">
        <v>395</v>
      </c>
      <c r="C136" s="68" t="s">
        <v>292</v>
      </c>
      <c r="D136" s="68" t="s">
        <v>292</v>
      </c>
      <c r="E136" s="68" t="s">
        <v>396</v>
      </c>
      <c r="F136" s="68" t="s">
        <v>390</v>
      </c>
      <c r="G136" s="68">
        <v>26.05</v>
      </c>
      <c r="H136" s="100" t="str">
        <f>MID(Page012[[#This Row],[Column4]],SEARCH("(",Page012[[#This Row],[Column4]])+1,SEARCH(")",Page012[[#This Row],[Column4]])-SEARCH("(",Page012[[#This Row],[Column4]])-1)</f>
        <v>141.3</v>
      </c>
      <c r="I136" s="68">
        <v>141.30000000000001</v>
      </c>
      <c r="J136" s="68">
        <f t="shared" si="9"/>
        <v>0</v>
      </c>
      <c r="K136" s="68">
        <f t="shared" si="8"/>
        <v>0</v>
      </c>
      <c r="L136" s="100">
        <f t="shared" si="10"/>
        <v>-0.42486133646629831</v>
      </c>
      <c r="M136" s="68">
        <f t="shared" si="11"/>
        <v>10</v>
      </c>
    </row>
    <row r="137" spans="1:13">
      <c r="A137" s="100" t="str">
        <f>MID(Page012[[#This Row],[Column5]],SEARCH("(",Page012[[#This Row],[Column5]])+1,SEARCH(")",Page012[[#This Row],[Column5]])-SEARCH("(",Page012[[#This Row],[Column5]])-1)</f>
        <v>8.74</v>
      </c>
      <c r="B137" s="68" t="s">
        <v>395</v>
      </c>
      <c r="C137" s="68" t="s">
        <v>292</v>
      </c>
      <c r="D137" s="68" t="s">
        <v>292</v>
      </c>
      <c r="E137" s="68" t="s">
        <v>396</v>
      </c>
      <c r="F137" s="68" t="s">
        <v>367</v>
      </c>
      <c r="G137" s="68">
        <v>28.57</v>
      </c>
      <c r="H137" s="100" t="str">
        <f>MID(Page012[[#This Row],[Column4]],SEARCH("(",Page012[[#This Row],[Column4]])+1,SEARCH(")",Page012[[#This Row],[Column4]])-SEARCH("(",Page012[[#This Row],[Column4]])-1)</f>
        <v>141.3</v>
      </c>
      <c r="I137" s="68">
        <v>141.30000000000001</v>
      </c>
      <c r="J137" s="68">
        <f t="shared" si="9"/>
        <v>0</v>
      </c>
      <c r="K137" s="68">
        <f t="shared" si="8"/>
        <v>0</v>
      </c>
      <c r="L137" s="100">
        <f t="shared" si="10"/>
        <v>-0.42486133646629831</v>
      </c>
      <c r="M137" s="68">
        <f t="shared" si="11"/>
        <v>10</v>
      </c>
    </row>
    <row r="138" spans="1:13">
      <c r="A138" s="100" t="str">
        <f>MID(Page012[[#This Row],[Column5]],SEARCH("(",Page012[[#This Row],[Column5]])+1,SEARCH(")",Page012[[#This Row],[Column5]])-SEARCH("(",Page012[[#This Row],[Column5]])-1)</f>
        <v>9.53</v>
      </c>
      <c r="B138" s="68" t="s">
        <v>395</v>
      </c>
      <c r="C138" s="68" t="s">
        <v>303</v>
      </c>
      <c r="D138" s="68" t="s">
        <v>304</v>
      </c>
      <c r="E138" s="68" t="s">
        <v>396</v>
      </c>
      <c r="F138" s="68" t="s">
        <v>376</v>
      </c>
      <c r="G138" s="68">
        <v>30.97</v>
      </c>
      <c r="H138" s="100" t="str">
        <f>MID(Page012[[#This Row],[Column4]],SEARCH("(",Page012[[#This Row],[Column4]])+1,SEARCH(")",Page012[[#This Row],[Column4]])-SEARCH("(",Page012[[#This Row],[Column4]])-1)</f>
        <v>141.3</v>
      </c>
      <c r="I138" s="68">
        <v>141.30000000000001</v>
      </c>
      <c r="J138" s="68">
        <f t="shared" si="9"/>
        <v>0</v>
      </c>
      <c r="K138" s="68">
        <f t="shared" si="8"/>
        <v>0</v>
      </c>
      <c r="L138" s="100">
        <f t="shared" si="10"/>
        <v>-0.42486133646629831</v>
      </c>
      <c r="M138" s="68">
        <f t="shared" si="11"/>
        <v>10</v>
      </c>
    </row>
    <row r="139" spans="1:13">
      <c r="A139" s="100" t="str">
        <f>MID(Page012[[#This Row],[Column5]],SEARCH("(",Page012[[#This Row],[Column5]])+1,SEARCH(")",Page012[[#This Row],[Column5]])-SEARCH("(",Page012[[#This Row],[Column5]])-1)</f>
        <v>12.70</v>
      </c>
      <c r="B139" s="68" t="s">
        <v>395</v>
      </c>
      <c r="C139" s="68" t="s">
        <v>292</v>
      </c>
      <c r="D139" s="68" t="s">
        <v>392</v>
      </c>
      <c r="E139" s="68" t="s">
        <v>396</v>
      </c>
      <c r="F139" s="68" t="s">
        <v>399</v>
      </c>
      <c r="G139" s="68">
        <v>40.28</v>
      </c>
      <c r="H139" s="100" t="str">
        <f>MID(Page012[[#This Row],[Column4]],SEARCH("(",Page012[[#This Row],[Column4]])+1,SEARCH(")",Page012[[#This Row],[Column4]])-SEARCH("(",Page012[[#This Row],[Column4]])-1)</f>
        <v>141.3</v>
      </c>
      <c r="I139" s="68">
        <v>141.30000000000001</v>
      </c>
      <c r="J139" s="68">
        <f t="shared" si="9"/>
        <v>0</v>
      </c>
      <c r="K139" s="68">
        <f t="shared" si="8"/>
        <v>0</v>
      </c>
      <c r="L139" s="100">
        <f t="shared" si="10"/>
        <v>-0.42486133646629831</v>
      </c>
      <c r="M139" s="68">
        <f t="shared" si="11"/>
        <v>10</v>
      </c>
    </row>
    <row r="140" spans="1:13">
      <c r="A140" s="100" t="str">
        <f>MID(Page012[[#This Row],[Column5]],SEARCH("(",Page012[[#This Row],[Column5]])+1,SEARCH(")",Page012[[#This Row],[Column5]])-SEARCH("(",Page012[[#This Row],[Column5]])-1)</f>
        <v>15.88</v>
      </c>
      <c r="B140" s="68" t="s">
        <v>395</v>
      </c>
      <c r="C140" s="68" t="s">
        <v>292</v>
      </c>
      <c r="D140" s="68" t="s">
        <v>306</v>
      </c>
      <c r="E140" s="68" t="s">
        <v>396</v>
      </c>
      <c r="F140" s="68" t="s">
        <v>400</v>
      </c>
      <c r="G140" s="68">
        <v>49.12</v>
      </c>
      <c r="H140" s="100" t="str">
        <f>MID(Page012[[#This Row],[Column4]],SEARCH("(",Page012[[#This Row],[Column4]])+1,SEARCH(")",Page012[[#This Row],[Column4]])-SEARCH("(",Page012[[#This Row],[Column4]])-1)</f>
        <v>141.3</v>
      </c>
      <c r="I140" s="68">
        <v>141.30000000000001</v>
      </c>
      <c r="J140" s="68">
        <f t="shared" si="9"/>
        <v>0</v>
      </c>
      <c r="K140" s="68">
        <f t="shared" si="8"/>
        <v>0</v>
      </c>
      <c r="L140" s="100">
        <f t="shared" si="10"/>
        <v>-0.42486133646629831</v>
      </c>
      <c r="M140" s="68">
        <f t="shared" si="11"/>
        <v>10</v>
      </c>
    </row>
    <row r="141" spans="1:13">
      <c r="A141" s="100" t="str">
        <f>MID(Page012[[#This Row],[Column5]],SEARCH("(",Page012[[#This Row],[Column5]])+1,SEARCH(")",Page012[[#This Row],[Column5]])-SEARCH("(",Page012[[#This Row],[Column5]])-1)</f>
        <v>19.05</v>
      </c>
      <c r="B141" s="68" t="s">
        <v>395</v>
      </c>
      <c r="C141" s="68" t="s">
        <v>308</v>
      </c>
      <c r="D141" s="68" t="s">
        <v>292</v>
      </c>
      <c r="E141" s="68" t="s">
        <v>396</v>
      </c>
      <c r="F141" s="68" t="s">
        <v>401</v>
      </c>
      <c r="G141" s="68">
        <v>57.43</v>
      </c>
      <c r="H141" s="100" t="str">
        <f>MID(Page012[[#This Row],[Column4]],SEARCH("(",Page012[[#This Row],[Column4]])+1,SEARCH(")",Page012[[#This Row],[Column4]])-SEARCH("(",Page012[[#This Row],[Column4]])-1)</f>
        <v>141.3</v>
      </c>
      <c r="I141" s="68">
        <v>141.30000000000001</v>
      </c>
      <c r="J141" s="68">
        <f t="shared" si="9"/>
        <v>0</v>
      </c>
      <c r="K141" s="68">
        <f t="shared" si="8"/>
        <v>0</v>
      </c>
      <c r="L141" s="100">
        <f t="shared" si="10"/>
        <v>-0.42486133646629831</v>
      </c>
      <c r="M141" s="68">
        <f t="shared" si="11"/>
        <v>10</v>
      </c>
    </row>
    <row r="142" spans="1:13">
      <c r="A142" s="100" t="str">
        <f>MID(Page012[[#This Row],[Column5]],SEARCH("(",Page012[[#This Row],[Column5]])+1,SEARCH(")",Page012[[#This Row],[Column5]])-SEARCH("(",Page012[[#This Row],[Column5]])-1)</f>
        <v>2.11</v>
      </c>
      <c r="B142" s="68" t="s">
        <v>402</v>
      </c>
      <c r="C142" s="68" t="s">
        <v>292</v>
      </c>
      <c r="D142" s="68" t="s">
        <v>292</v>
      </c>
      <c r="E142" s="68" t="s">
        <v>403</v>
      </c>
      <c r="F142" s="68" t="s">
        <v>332</v>
      </c>
      <c r="G142" s="68">
        <v>8.65</v>
      </c>
      <c r="H142" s="100" t="str">
        <f>MID(Page012[[#This Row],[Column4]],SEARCH("(",Page012[[#This Row],[Column4]])+1,SEARCH(")",Page012[[#This Row],[Column4]])-SEARCH("(",Page012[[#This Row],[Column4]])-1)</f>
        <v>168.3</v>
      </c>
      <c r="I142" s="68">
        <v>168.3</v>
      </c>
      <c r="J142" s="68">
        <f t="shared" si="9"/>
        <v>0</v>
      </c>
      <c r="K142" s="68">
        <f t="shared" si="8"/>
        <v>0</v>
      </c>
      <c r="L142" s="100">
        <f t="shared" si="10"/>
        <v>-0.42486133646629831</v>
      </c>
      <c r="M142" s="68">
        <f t="shared" si="11"/>
        <v>10</v>
      </c>
    </row>
    <row r="143" spans="1:13">
      <c r="A143" s="100" t="str">
        <f>MID(Page012[[#This Row],[Column5]],SEARCH("(",Page012[[#This Row],[Column5]])+1,SEARCH(")",Page012[[#This Row],[Column5]])-SEARCH("(",Page012[[#This Row],[Column5]])-1)</f>
        <v>2.77</v>
      </c>
      <c r="B143" s="68" t="s">
        <v>402</v>
      </c>
      <c r="C143" s="68" t="s">
        <v>292</v>
      </c>
      <c r="D143" s="68" t="s">
        <v>330</v>
      </c>
      <c r="E143" s="68" t="s">
        <v>403</v>
      </c>
      <c r="F143" s="68" t="s">
        <v>333</v>
      </c>
      <c r="G143" s="68">
        <v>11.31</v>
      </c>
      <c r="H143" s="100" t="str">
        <f>MID(Page012[[#This Row],[Column4]],SEARCH("(",Page012[[#This Row],[Column4]])+1,SEARCH(")",Page012[[#This Row],[Column4]])-SEARCH("(",Page012[[#This Row],[Column4]])-1)</f>
        <v>168.3</v>
      </c>
      <c r="I143" s="68">
        <v>168.3</v>
      </c>
      <c r="J143" s="68">
        <f t="shared" si="9"/>
        <v>0</v>
      </c>
      <c r="K143" s="68">
        <f t="shared" si="8"/>
        <v>0</v>
      </c>
      <c r="L143" s="100">
        <f t="shared" si="10"/>
        <v>-0.42486133646629831</v>
      </c>
      <c r="M143" s="68">
        <f t="shared" si="11"/>
        <v>10</v>
      </c>
    </row>
    <row r="144" spans="1:13">
      <c r="A144" s="100" t="str">
        <f>MID(Page012[[#This Row],[Column5]],SEARCH("(",Page012[[#This Row],[Column5]])+1,SEARCH(")",Page012[[#This Row],[Column5]])-SEARCH("(",Page012[[#This Row],[Column5]])-1)</f>
        <v>3.18</v>
      </c>
      <c r="B144" s="68" t="s">
        <v>402</v>
      </c>
      <c r="C144" s="68" t="s">
        <v>292</v>
      </c>
      <c r="D144" s="68" t="s">
        <v>292</v>
      </c>
      <c r="E144" s="68" t="s">
        <v>403</v>
      </c>
      <c r="F144" s="68" t="s">
        <v>358</v>
      </c>
      <c r="G144" s="68">
        <v>12.95</v>
      </c>
      <c r="H144" s="100" t="str">
        <f>MID(Page012[[#This Row],[Column4]],SEARCH("(",Page012[[#This Row],[Column4]])+1,SEARCH(")",Page012[[#This Row],[Column4]])-SEARCH("(",Page012[[#This Row],[Column4]])-1)</f>
        <v>168.3</v>
      </c>
      <c r="I144" s="68">
        <v>168.3</v>
      </c>
      <c r="J144" s="68">
        <f t="shared" si="9"/>
        <v>0</v>
      </c>
      <c r="K144" s="68">
        <f t="shared" si="8"/>
        <v>0</v>
      </c>
      <c r="L144" s="100">
        <f t="shared" si="10"/>
        <v>-0.42486133646629831</v>
      </c>
      <c r="M144" s="68">
        <f t="shared" si="11"/>
        <v>10</v>
      </c>
    </row>
    <row r="145" spans="1:13">
      <c r="A145" s="100" t="str">
        <f>MID(Page012[[#This Row],[Column5]],SEARCH("(",Page012[[#This Row],[Column5]])+1,SEARCH(")",Page012[[#This Row],[Column5]])-SEARCH("(",Page012[[#This Row],[Column5]])-1)</f>
        <v>3.40</v>
      </c>
      <c r="B145" s="68" t="s">
        <v>402</v>
      </c>
      <c r="C145" s="68" t="s">
        <v>292</v>
      </c>
      <c r="D145" s="68" t="s">
        <v>293</v>
      </c>
      <c r="E145" s="68" t="s">
        <v>403</v>
      </c>
      <c r="F145" s="68" t="s">
        <v>397</v>
      </c>
      <c r="G145" s="68">
        <v>13.83</v>
      </c>
      <c r="H145" s="100" t="str">
        <f>MID(Page012[[#This Row],[Column4]],SEARCH("(",Page012[[#This Row],[Column4]])+1,SEARCH(")",Page012[[#This Row],[Column4]])-SEARCH("(",Page012[[#This Row],[Column4]])-1)</f>
        <v>168.3</v>
      </c>
      <c r="I145" s="68">
        <v>168.3</v>
      </c>
      <c r="J145" s="68">
        <f t="shared" si="9"/>
        <v>0</v>
      </c>
      <c r="K145" s="68">
        <f t="shared" si="8"/>
        <v>0</v>
      </c>
      <c r="L145" s="100">
        <f t="shared" si="10"/>
        <v>-0.42486133646629831</v>
      </c>
      <c r="M145" s="68">
        <f t="shared" si="11"/>
        <v>10</v>
      </c>
    </row>
    <row r="146" spans="1:13">
      <c r="A146" s="100" t="str">
        <f>MID(Page012[[#This Row],[Column5]],SEARCH("(",Page012[[#This Row],[Column5]])+1,SEARCH(")",Page012[[#This Row],[Column5]])-SEARCH("(",Page012[[#This Row],[Column5]])-1)</f>
        <v>3.58</v>
      </c>
      <c r="B146" s="68" t="s">
        <v>402</v>
      </c>
      <c r="C146" s="68" t="s">
        <v>292</v>
      </c>
      <c r="D146" s="68" t="s">
        <v>292</v>
      </c>
      <c r="E146" s="68" t="s">
        <v>403</v>
      </c>
      <c r="F146" s="68" t="s">
        <v>364</v>
      </c>
      <c r="G146" s="68">
        <v>14.54</v>
      </c>
      <c r="H146" s="100" t="str">
        <f>MID(Page012[[#This Row],[Column4]],SEARCH("(",Page012[[#This Row],[Column4]])+1,SEARCH(")",Page012[[#This Row],[Column4]])-SEARCH("(",Page012[[#This Row],[Column4]])-1)</f>
        <v>168.3</v>
      </c>
      <c r="I146" s="68">
        <v>168.3</v>
      </c>
      <c r="J146" s="68">
        <f t="shared" si="9"/>
        <v>0</v>
      </c>
      <c r="K146" s="68">
        <f t="shared" si="8"/>
        <v>0</v>
      </c>
      <c r="L146" s="100">
        <f t="shared" si="10"/>
        <v>-0.42486133646629831</v>
      </c>
      <c r="M146" s="68">
        <f t="shared" si="11"/>
        <v>10</v>
      </c>
    </row>
    <row r="147" spans="1:13">
      <c r="A147" s="100" t="str">
        <f>MID(Page012[[#This Row],[Column5]],SEARCH("(",Page012[[#This Row],[Column5]])+1,SEARCH(")",Page012[[#This Row],[Column5]])-SEARCH("(",Page012[[#This Row],[Column5]])-1)</f>
        <v>3.96</v>
      </c>
      <c r="B147" s="68" t="s">
        <v>402</v>
      </c>
      <c r="C147" s="68" t="s">
        <v>292</v>
      </c>
      <c r="D147" s="68" t="s">
        <v>292</v>
      </c>
      <c r="E147" s="68" t="s">
        <v>403</v>
      </c>
      <c r="F147" s="68" t="s">
        <v>372</v>
      </c>
      <c r="G147" s="68">
        <v>16.05</v>
      </c>
      <c r="H147" s="100" t="str">
        <f>MID(Page012[[#This Row],[Column4]],SEARCH("(",Page012[[#This Row],[Column4]])+1,SEARCH(")",Page012[[#This Row],[Column4]])-SEARCH("(",Page012[[#This Row],[Column4]])-1)</f>
        <v>168.3</v>
      </c>
      <c r="I147" s="68">
        <v>168.3</v>
      </c>
      <c r="J147" s="68">
        <f t="shared" si="9"/>
        <v>0</v>
      </c>
      <c r="K147" s="68">
        <f t="shared" si="8"/>
        <v>0</v>
      </c>
      <c r="L147" s="100">
        <f t="shared" si="10"/>
        <v>-0.42486133646629831</v>
      </c>
      <c r="M147" s="68">
        <f t="shared" si="11"/>
        <v>10</v>
      </c>
    </row>
    <row r="148" spans="1:13">
      <c r="A148" s="100" t="str">
        <f>MID(Page012[[#This Row],[Column5]],SEARCH("(",Page012[[#This Row],[Column5]])+1,SEARCH(")",Page012[[#This Row],[Column5]])-SEARCH("(",Page012[[#This Row],[Column5]])-1)</f>
        <v>4.37</v>
      </c>
      <c r="B148" s="68" t="s">
        <v>402</v>
      </c>
      <c r="C148" s="68" t="s">
        <v>292</v>
      </c>
      <c r="D148" s="68" t="s">
        <v>292</v>
      </c>
      <c r="E148" s="68" t="s">
        <v>403</v>
      </c>
      <c r="F148" s="68" t="s">
        <v>365</v>
      </c>
      <c r="G148" s="68">
        <v>17.670000000000002</v>
      </c>
      <c r="H148" s="100" t="str">
        <f>MID(Page012[[#This Row],[Column4]],SEARCH("(",Page012[[#This Row],[Column4]])+1,SEARCH(")",Page012[[#This Row],[Column4]])-SEARCH("(",Page012[[#This Row],[Column4]])-1)</f>
        <v>168.3</v>
      </c>
      <c r="I148" s="68">
        <v>168.3</v>
      </c>
      <c r="J148" s="68">
        <f t="shared" si="9"/>
        <v>0</v>
      </c>
      <c r="K148" s="68">
        <f t="shared" si="8"/>
        <v>0</v>
      </c>
      <c r="L148" s="100">
        <f t="shared" si="10"/>
        <v>-0.42486133646629831</v>
      </c>
      <c r="M148" s="68">
        <f t="shared" si="11"/>
        <v>10</v>
      </c>
    </row>
    <row r="149" spans="1:13">
      <c r="A149" s="100" t="str">
        <f>MID(Page012[[#This Row],[Column5]],SEARCH("(",Page012[[#This Row],[Column5]])+1,SEARCH(")",Page012[[#This Row],[Column5]])-SEARCH("(",Page012[[#This Row],[Column5]])-1)</f>
        <v>4.78</v>
      </c>
      <c r="B149" s="68" t="s">
        <v>402</v>
      </c>
      <c r="C149" s="68" t="s">
        <v>292</v>
      </c>
      <c r="D149" s="68" t="s">
        <v>292</v>
      </c>
      <c r="E149" s="68" t="s">
        <v>403</v>
      </c>
      <c r="F149" s="68" t="s">
        <v>335</v>
      </c>
      <c r="G149" s="68">
        <v>19.28</v>
      </c>
      <c r="H149" s="100" t="str">
        <f>MID(Page012[[#This Row],[Column4]],SEARCH("(",Page012[[#This Row],[Column4]])+1,SEARCH(")",Page012[[#This Row],[Column4]])-SEARCH("(",Page012[[#This Row],[Column4]])-1)</f>
        <v>168.3</v>
      </c>
      <c r="I149" s="68">
        <v>168.3</v>
      </c>
      <c r="J149" s="68">
        <f t="shared" si="9"/>
        <v>0</v>
      </c>
      <c r="K149" s="68">
        <f t="shared" si="8"/>
        <v>0</v>
      </c>
      <c r="L149" s="100">
        <f t="shared" si="10"/>
        <v>-0.42486133646629831</v>
      </c>
      <c r="M149" s="68">
        <f t="shared" si="11"/>
        <v>10</v>
      </c>
    </row>
    <row r="150" spans="1:13">
      <c r="A150" s="100" t="str">
        <f>MID(Page012[[#This Row],[Column5]],SEARCH("(",Page012[[#This Row],[Column5]])+1,SEARCH(")",Page012[[#This Row],[Column5]])-SEARCH("(",Page012[[#This Row],[Column5]])-1)</f>
        <v>5.16</v>
      </c>
      <c r="B150" s="68" t="s">
        <v>402</v>
      </c>
      <c r="C150" s="68" t="s">
        <v>292</v>
      </c>
      <c r="D150" s="68" t="s">
        <v>292</v>
      </c>
      <c r="E150" s="68" t="s">
        <v>403</v>
      </c>
      <c r="F150" s="68" t="s">
        <v>373</v>
      </c>
      <c r="G150" s="68">
        <v>20.76</v>
      </c>
      <c r="H150" s="100" t="str">
        <f>MID(Page012[[#This Row],[Column4]],SEARCH("(",Page012[[#This Row],[Column4]])+1,SEARCH(")",Page012[[#This Row],[Column4]])-SEARCH("(",Page012[[#This Row],[Column4]])-1)</f>
        <v>168.3</v>
      </c>
      <c r="I150" s="68">
        <v>168.3</v>
      </c>
      <c r="J150" s="68">
        <f t="shared" si="9"/>
        <v>0</v>
      </c>
      <c r="K150" s="68">
        <f t="shared" si="8"/>
        <v>0</v>
      </c>
      <c r="L150" s="100">
        <f t="shared" si="10"/>
        <v>-0.42486133646629831</v>
      </c>
      <c r="M150" s="68">
        <f t="shared" si="11"/>
        <v>10</v>
      </c>
    </row>
    <row r="151" spans="1:13">
      <c r="A151" s="100" t="str">
        <f>MID(Page012[[#This Row],[Column5]],SEARCH("(",Page012[[#This Row],[Column5]])+1,SEARCH(")",Page012[[#This Row],[Column5]])-SEARCH("(",Page012[[#This Row],[Column5]])-1)</f>
        <v>5.56</v>
      </c>
      <c r="B151" s="68" t="s">
        <v>402</v>
      </c>
      <c r="C151" s="68" t="s">
        <v>292</v>
      </c>
      <c r="D151" s="68" t="s">
        <v>292</v>
      </c>
      <c r="E151" s="68" t="s">
        <v>403</v>
      </c>
      <c r="F151" s="68" t="s">
        <v>341</v>
      </c>
      <c r="G151" s="68">
        <v>22.31</v>
      </c>
      <c r="H151" s="100" t="str">
        <f>MID(Page012[[#This Row],[Column4]],SEARCH("(",Page012[[#This Row],[Column4]])+1,SEARCH(")",Page012[[#This Row],[Column4]])-SEARCH("(",Page012[[#This Row],[Column4]])-1)</f>
        <v>168.3</v>
      </c>
      <c r="I151" s="68">
        <v>168.3</v>
      </c>
      <c r="J151" s="68">
        <f t="shared" si="9"/>
        <v>0</v>
      </c>
      <c r="K151" s="68">
        <f t="shared" si="8"/>
        <v>0</v>
      </c>
      <c r="L151" s="100">
        <f t="shared" si="10"/>
        <v>-0.42486133646629831</v>
      </c>
      <c r="M151" s="68">
        <f t="shared" si="11"/>
        <v>10</v>
      </c>
    </row>
    <row r="152" spans="1:13">
      <c r="A152" s="100" t="str">
        <f>MID(Page012[[#This Row],[Column5]],SEARCH("(",Page012[[#This Row],[Column5]])+1,SEARCH(")",Page012[[#This Row],[Column5]])-SEARCH("(",Page012[[#This Row],[Column5]])-1)</f>
        <v>6.35</v>
      </c>
      <c r="B152" s="68" t="s">
        <v>402</v>
      </c>
      <c r="C152" s="68" t="s">
        <v>292</v>
      </c>
      <c r="D152" s="68" t="s">
        <v>292</v>
      </c>
      <c r="E152" s="68" t="s">
        <v>403</v>
      </c>
      <c r="F152" s="68" t="s">
        <v>348</v>
      </c>
      <c r="G152" s="68">
        <v>25.36</v>
      </c>
      <c r="H152" s="100" t="str">
        <f>MID(Page012[[#This Row],[Column4]],SEARCH("(",Page012[[#This Row],[Column4]])+1,SEARCH(")",Page012[[#This Row],[Column4]])-SEARCH("(",Page012[[#This Row],[Column4]])-1)</f>
        <v>168.3</v>
      </c>
      <c r="I152" s="68">
        <v>168.3</v>
      </c>
      <c r="J152" s="68">
        <f t="shared" si="9"/>
        <v>0</v>
      </c>
      <c r="K152" s="68">
        <f t="shared" si="8"/>
        <v>0</v>
      </c>
      <c r="L152" s="100">
        <f t="shared" si="10"/>
        <v>-0.42486133646629831</v>
      </c>
      <c r="M152" s="68">
        <f t="shared" si="11"/>
        <v>10</v>
      </c>
    </row>
    <row r="153" spans="1:13">
      <c r="A153" s="100" t="str">
        <f>MID(Page012[[#This Row],[Column5]],SEARCH("(",Page012[[#This Row],[Column5]])+1,SEARCH(")",Page012[[#This Row],[Column5]])-SEARCH("(",Page012[[#This Row],[Column5]])-1)</f>
        <v>7.11</v>
      </c>
      <c r="B153" s="68" t="s">
        <v>402</v>
      </c>
      <c r="C153" s="68" t="s">
        <v>300</v>
      </c>
      <c r="D153" s="68" t="s">
        <v>301</v>
      </c>
      <c r="E153" s="68" t="s">
        <v>403</v>
      </c>
      <c r="F153" s="68" t="s">
        <v>404</v>
      </c>
      <c r="G153" s="68">
        <v>28.26</v>
      </c>
      <c r="H153" s="100" t="str">
        <f>MID(Page012[[#This Row],[Column4]],SEARCH("(",Page012[[#This Row],[Column4]])+1,SEARCH(")",Page012[[#This Row],[Column4]])-SEARCH("(",Page012[[#This Row],[Column4]])-1)</f>
        <v>168.3</v>
      </c>
      <c r="I153" s="68">
        <v>168.3</v>
      </c>
      <c r="J153" s="68">
        <f t="shared" si="9"/>
        <v>0</v>
      </c>
      <c r="K153" s="68">
        <f t="shared" si="8"/>
        <v>0</v>
      </c>
      <c r="L153" s="100">
        <f t="shared" si="10"/>
        <v>-0.42486133646629831</v>
      </c>
      <c r="M153" s="68">
        <f t="shared" si="11"/>
        <v>10</v>
      </c>
    </row>
    <row r="154" spans="1:13">
      <c r="A154" s="100" t="str">
        <f>MID(Page012[[#This Row],[Column5]],SEARCH("(",Page012[[#This Row],[Column5]])+1,SEARCH(")",Page012[[#This Row],[Column5]])-SEARCH("(",Page012[[#This Row],[Column5]])-1)</f>
        <v>7.92</v>
      </c>
      <c r="B154" s="68" t="s">
        <v>402</v>
      </c>
      <c r="C154" s="68" t="s">
        <v>292</v>
      </c>
      <c r="D154" s="68" t="s">
        <v>292</v>
      </c>
      <c r="E154" s="68" t="s">
        <v>403</v>
      </c>
      <c r="F154" s="68" t="s">
        <v>390</v>
      </c>
      <c r="G154" s="68">
        <v>31.33</v>
      </c>
      <c r="H154" s="100" t="str">
        <f>MID(Page012[[#This Row],[Column4]],SEARCH("(",Page012[[#This Row],[Column4]])+1,SEARCH(")",Page012[[#This Row],[Column4]])-SEARCH("(",Page012[[#This Row],[Column4]])-1)</f>
        <v>168.3</v>
      </c>
      <c r="I154" s="68">
        <v>168.3</v>
      </c>
      <c r="J154" s="68">
        <f t="shared" si="9"/>
        <v>0</v>
      </c>
      <c r="K154" s="68">
        <f t="shared" si="8"/>
        <v>0</v>
      </c>
      <c r="L154" s="100">
        <f t="shared" si="10"/>
        <v>-0.42486133646629831</v>
      </c>
      <c r="M154" s="68">
        <f t="shared" si="11"/>
        <v>10</v>
      </c>
    </row>
    <row r="155" spans="1:13">
      <c r="A155" s="100" t="str">
        <f>MID(Page012[[#This Row],[Column5]],SEARCH("(",Page012[[#This Row],[Column5]])+1,SEARCH(")",Page012[[#This Row],[Column5]])-SEARCH("(",Page012[[#This Row],[Column5]])-1)</f>
        <v>8.74</v>
      </c>
      <c r="B155" s="68" t="s">
        <v>402</v>
      </c>
      <c r="C155" s="68" t="s">
        <v>292</v>
      </c>
      <c r="D155" s="68" t="s">
        <v>292</v>
      </c>
      <c r="E155" s="68" t="s">
        <v>403</v>
      </c>
      <c r="F155" s="68" t="s">
        <v>367</v>
      </c>
      <c r="G155" s="68">
        <v>34.39</v>
      </c>
      <c r="H155" s="100" t="str">
        <f>MID(Page012[[#This Row],[Column4]],SEARCH("(",Page012[[#This Row],[Column4]])+1,SEARCH(")",Page012[[#This Row],[Column4]])-SEARCH("(",Page012[[#This Row],[Column4]])-1)</f>
        <v>168.3</v>
      </c>
      <c r="I155" s="68">
        <v>168.3</v>
      </c>
      <c r="J155" s="68">
        <f t="shared" si="9"/>
        <v>0</v>
      </c>
      <c r="K155" s="68">
        <f t="shared" si="8"/>
        <v>0</v>
      </c>
      <c r="L155" s="100">
        <f t="shared" si="10"/>
        <v>-0.42486133646629831</v>
      </c>
      <c r="M155" s="68">
        <f t="shared" si="11"/>
        <v>10</v>
      </c>
    </row>
    <row r="156" spans="1:13">
      <c r="A156" s="100" t="str">
        <f>MID(Page012[[#This Row],[Column5]],SEARCH("(",Page012[[#This Row],[Column5]])+1,SEARCH(")",Page012[[#This Row],[Column5]])-SEARCH("(",Page012[[#This Row],[Column5]])-1)</f>
        <v>9.53</v>
      </c>
      <c r="B156" s="68" t="s">
        <v>402</v>
      </c>
      <c r="C156" s="68" t="s">
        <v>292</v>
      </c>
      <c r="D156" s="68" t="s">
        <v>292</v>
      </c>
      <c r="E156" s="68" t="s">
        <v>403</v>
      </c>
      <c r="F156" s="68" t="s">
        <v>376</v>
      </c>
      <c r="G156" s="68">
        <v>37.31</v>
      </c>
      <c r="H156" s="100" t="str">
        <f>MID(Page012[[#This Row],[Column4]],SEARCH("(",Page012[[#This Row],[Column4]])+1,SEARCH(")",Page012[[#This Row],[Column4]])-SEARCH("(",Page012[[#This Row],[Column4]])-1)</f>
        <v>168.3</v>
      </c>
      <c r="I156" s="68">
        <v>168.3</v>
      </c>
      <c r="J156" s="68">
        <f t="shared" si="9"/>
        <v>0</v>
      </c>
      <c r="K156" s="68">
        <f t="shared" si="8"/>
        <v>0</v>
      </c>
      <c r="L156" s="100">
        <f t="shared" si="10"/>
        <v>-0.42486133646629831</v>
      </c>
      <c r="M156" s="68">
        <f t="shared" si="11"/>
        <v>10</v>
      </c>
    </row>
    <row r="157" spans="1:13">
      <c r="A157" s="100" t="str">
        <f>MID(Page012[[#This Row],[Column5]],SEARCH("(",Page012[[#This Row],[Column5]])+1,SEARCH(")",Page012[[#This Row],[Column5]])-SEARCH("(",Page012[[#This Row],[Column5]])-1)</f>
        <v>10.97</v>
      </c>
      <c r="B157" s="68" t="s">
        <v>402</v>
      </c>
      <c r="C157" s="68" t="s">
        <v>303</v>
      </c>
      <c r="D157" s="68" t="s">
        <v>304</v>
      </c>
      <c r="E157" s="68" t="s">
        <v>403</v>
      </c>
      <c r="F157" s="68" t="s">
        <v>405</v>
      </c>
      <c r="G157" s="68">
        <v>42.56</v>
      </c>
      <c r="H157" s="100" t="str">
        <f>MID(Page012[[#This Row],[Column4]],SEARCH("(",Page012[[#This Row],[Column4]])+1,SEARCH(")",Page012[[#This Row],[Column4]])-SEARCH("(",Page012[[#This Row],[Column4]])-1)</f>
        <v>168.3</v>
      </c>
      <c r="I157" s="68">
        <v>168.3</v>
      </c>
      <c r="J157" s="68">
        <f t="shared" si="9"/>
        <v>0</v>
      </c>
      <c r="K157" s="68">
        <f t="shared" si="8"/>
        <v>0</v>
      </c>
      <c r="L157" s="100">
        <f t="shared" si="10"/>
        <v>-0.42486133646629831</v>
      </c>
      <c r="M157" s="68">
        <f t="shared" si="11"/>
        <v>10</v>
      </c>
    </row>
    <row r="158" spans="1:13">
      <c r="A158" s="100" t="str">
        <f>MID(Page012[[#This Row],[Column5]],SEARCH("(",Page012[[#This Row],[Column5]])+1,SEARCH(")",Page012[[#This Row],[Column5]])-SEARCH("(",Page012[[#This Row],[Column5]])-1)</f>
        <v>12.70</v>
      </c>
      <c r="B158" s="68" t="s">
        <v>402</v>
      </c>
      <c r="C158" s="68" t="s">
        <v>292</v>
      </c>
      <c r="D158" s="68" t="s">
        <v>292</v>
      </c>
      <c r="E158" s="68" t="s">
        <v>403</v>
      </c>
      <c r="F158" s="68" t="s">
        <v>399</v>
      </c>
      <c r="G158" s="68">
        <v>48.73</v>
      </c>
      <c r="H158" s="100" t="str">
        <f>MID(Page012[[#This Row],[Column4]],SEARCH("(",Page012[[#This Row],[Column4]])+1,SEARCH(")",Page012[[#This Row],[Column4]])-SEARCH("(",Page012[[#This Row],[Column4]])-1)</f>
        <v>168.3</v>
      </c>
      <c r="I158" s="68">
        <v>168.3</v>
      </c>
      <c r="J158" s="68">
        <f t="shared" si="9"/>
        <v>0</v>
      </c>
      <c r="K158" s="68">
        <f t="shared" si="8"/>
        <v>0</v>
      </c>
      <c r="L158" s="100">
        <f t="shared" si="10"/>
        <v>-0.42486133646629831</v>
      </c>
      <c r="M158" s="68">
        <f t="shared" si="11"/>
        <v>10</v>
      </c>
    </row>
    <row r="159" spans="1:13">
      <c r="A159" s="100" t="str">
        <f>MID(Page012[[#This Row],[Column5]],SEARCH("(",Page012[[#This Row],[Column5]])+1,SEARCH(")",Page012[[#This Row],[Column5]])-SEARCH("(",Page012[[#This Row],[Column5]])-1)</f>
        <v>14.27</v>
      </c>
      <c r="B159" s="68" t="s">
        <v>402</v>
      </c>
      <c r="C159" s="68" t="s">
        <v>292</v>
      </c>
      <c r="D159" s="68" t="s">
        <v>392</v>
      </c>
      <c r="E159" s="68" t="s">
        <v>403</v>
      </c>
      <c r="F159" s="68" t="s">
        <v>406</v>
      </c>
      <c r="G159" s="68">
        <v>54.21</v>
      </c>
      <c r="H159" s="100" t="str">
        <f>MID(Page012[[#This Row],[Column4]],SEARCH("(",Page012[[#This Row],[Column4]])+1,SEARCH(")",Page012[[#This Row],[Column4]])-SEARCH("(",Page012[[#This Row],[Column4]])-1)</f>
        <v>168.3</v>
      </c>
      <c r="I159" s="68">
        <v>168.3</v>
      </c>
      <c r="J159" s="68">
        <f t="shared" si="9"/>
        <v>0</v>
      </c>
      <c r="K159" s="68">
        <f t="shared" si="8"/>
        <v>0</v>
      </c>
      <c r="L159" s="100">
        <f t="shared" si="10"/>
        <v>-0.42486133646629831</v>
      </c>
      <c r="M159" s="68">
        <f t="shared" si="11"/>
        <v>10</v>
      </c>
    </row>
    <row r="160" spans="1:13">
      <c r="A160" s="100" t="str">
        <f>MID(Page012[[#This Row],[Column5]],SEARCH("(",Page012[[#This Row],[Column5]])+1,SEARCH(")",Page012[[#This Row],[Column5]])-SEARCH("(",Page012[[#This Row],[Column5]])-1)</f>
        <v>15.88</v>
      </c>
      <c r="B160" s="68" t="s">
        <v>402</v>
      </c>
      <c r="C160" s="68" t="s">
        <v>292</v>
      </c>
      <c r="D160" s="68" t="s">
        <v>292</v>
      </c>
      <c r="E160" s="68" t="s">
        <v>403</v>
      </c>
      <c r="F160" s="68" t="s">
        <v>400</v>
      </c>
      <c r="G160" s="68">
        <v>59.69</v>
      </c>
      <c r="H160" s="100" t="str">
        <f>MID(Page012[[#This Row],[Column4]],SEARCH("(",Page012[[#This Row],[Column4]])+1,SEARCH(")",Page012[[#This Row],[Column4]])-SEARCH("(",Page012[[#This Row],[Column4]])-1)</f>
        <v>168.3</v>
      </c>
      <c r="I160" s="68">
        <v>168.3</v>
      </c>
      <c r="J160" s="68">
        <f t="shared" si="9"/>
        <v>0</v>
      </c>
      <c r="K160" s="68">
        <f t="shared" si="8"/>
        <v>0</v>
      </c>
      <c r="L160" s="100">
        <f t="shared" si="10"/>
        <v>-0.42486133646629831</v>
      </c>
      <c r="M160" s="68">
        <f t="shared" si="11"/>
        <v>10</v>
      </c>
    </row>
    <row r="161" spans="1:13">
      <c r="A161" s="100" t="str">
        <f>MID(Page012[[#This Row],[Column5]],SEARCH("(",Page012[[#This Row],[Column5]])+1,SEARCH(")",Page012[[#This Row],[Column5]])-SEARCH("(",Page012[[#This Row],[Column5]])-1)</f>
        <v>18.26</v>
      </c>
      <c r="B161" s="68" t="s">
        <v>402</v>
      </c>
      <c r="C161" s="68" t="s">
        <v>292</v>
      </c>
      <c r="D161" s="68" t="s">
        <v>306</v>
      </c>
      <c r="E161" s="68" t="s">
        <v>403</v>
      </c>
      <c r="F161" s="68" t="s">
        <v>407</v>
      </c>
      <c r="G161" s="68">
        <v>67.569999999999993</v>
      </c>
      <c r="H161" s="100" t="str">
        <f>MID(Page012[[#This Row],[Column4]],SEARCH("(",Page012[[#This Row],[Column4]])+1,SEARCH(")",Page012[[#This Row],[Column4]])-SEARCH("(",Page012[[#This Row],[Column4]])-1)</f>
        <v>168.3</v>
      </c>
      <c r="I161" s="68">
        <v>168.3</v>
      </c>
      <c r="J161" s="68">
        <f t="shared" si="9"/>
        <v>0</v>
      </c>
      <c r="K161" s="68">
        <f t="shared" si="8"/>
        <v>0</v>
      </c>
      <c r="L161" s="100">
        <f t="shared" si="10"/>
        <v>-0.42486133646629831</v>
      </c>
      <c r="M161" s="68">
        <f t="shared" si="11"/>
        <v>10</v>
      </c>
    </row>
    <row r="162" spans="1:13">
      <c r="A162" s="100" t="str">
        <f>MID(Page012[[#This Row],[Column5]],SEARCH("(",Page012[[#This Row],[Column5]])+1,SEARCH(")",Page012[[#This Row],[Column5]])-SEARCH("(",Page012[[#This Row],[Column5]])-1)</f>
        <v>19.05</v>
      </c>
      <c r="B162" s="68" t="s">
        <v>402</v>
      </c>
      <c r="C162" s="68" t="s">
        <v>292</v>
      </c>
      <c r="D162" s="68" t="s">
        <v>292</v>
      </c>
      <c r="E162" s="68" t="s">
        <v>403</v>
      </c>
      <c r="F162" s="68" t="s">
        <v>401</v>
      </c>
      <c r="G162" s="68">
        <v>70.12</v>
      </c>
      <c r="H162" s="100" t="str">
        <f>MID(Page012[[#This Row],[Column4]],SEARCH("(",Page012[[#This Row],[Column4]])+1,SEARCH(")",Page012[[#This Row],[Column4]])-SEARCH("(",Page012[[#This Row],[Column4]])-1)</f>
        <v>168.3</v>
      </c>
      <c r="I162" s="68">
        <v>168.3</v>
      </c>
      <c r="J162" s="68">
        <f t="shared" si="9"/>
        <v>0</v>
      </c>
      <c r="K162" s="68">
        <f t="shared" si="8"/>
        <v>0</v>
      </c>
      <c r="L162" s="100">
        <f t="shared" si="10"/>
        <v>-0.42486133646629831</v>
      </c>
      <c r="M162" s="68">
        <f t="shared" si="11"/>
        <v>10</v>
      </c>
    </row>
    <row r="163" spans="1:13">
      <c r="A163" s="100" t="str">
        <f>MID(Page012[[#This Row],[Column5]],SEARCH("(",Page012[[#This Row],[Column5]])+1,SEARCH(")",Page012[[#This Row],[Column5]])-SEARCH("(",Page012[[#This Row],[Column5]])-1)</f>
        <v>21.95</v>
      </c>
      <c r="B163" s="68" t="s">
        <v>402</v>
      </c>
      <c r="C163" s="68" t="s">
        <v>308</v>
      </c>
      <c r="D163" s="68" t="s">
        <v>292</v>
      </c>
      <c r="E163" s="68" t="s">
        <v>403</v>
      </c>
      <c r="F163" s="68" t="s">
        <v>408</v>
      </c>
      <c r="G163" s="68">
        <v>79.22</v>
      </c>
      <c r="H163" s="100" t="str">
        <f>MID(Page012[[#This Row],[Column4]],SEARCH("(",Page012[[#This Row],[Column4]])+1,SEARCH(")",Page012[[#This Row],[Column4]])-SEARCH("(",Page012[[#This Row],[Column4]])-1)</f>
        <v>168.3</v>
      </c>
      <c r="I163" s="68">
        <v>168.3</v>
      </c>
      <c r="J163" s="68">
        <f t="shared" si="9"/>
        <v>0</v>
      </c>
      <c r="K163" s="68">
        <f t="shared" si="8"/>
        <v>0</v>
      </c>
      <c r="L163" s="100">
        <f t="shared" si="10"/>
        <v>-0.42486133646629831</v>
      </c>
      <c r="M163" s="68">
        <f t="shared" si="11"/>
        <v>10</v>
      </c>
    </row>
    <row r="164" spans="1:13">
      <c r="A164" s="100" t="str">
        <f>MID(Page012[[#This Row],[Column5]],SEARCH("(",Page012[[#This Row],[Column5]])+1,SEARCH(")",Page012[[#This Row],[Column5]])-SEARCH("(",Page012[[#This Row],[Column5]])-1)</f>
        <v>22.23</v>
      </c>
      <c r="B164" s="68" t="s">
        <v>402</v>
      </c>
      <c r="C164" s="68" t="s">
        <v>292</v>
      </c>
      <c r="D164" s="68" t="s">
        <v>292</v>
      </c>
      <c r="E164" s="68" t="s">
        <v>403</v>
      </c>
      <c r="F164" s="68" t="s">
        <v>409</v>
      </c>
      <c r="G164" s="68">
        <v>80.08</v>
      </c>
      <c r="H164" s="100" t="str">
        <f>MID(Page012[[#This Row],[Column4]],SEARCH("(",Page012[[#This Row],[Column4]])+1,SEARCH(")",Page012[[#This Row],[Column4]])-SEARCH("(",Page012[[#This Row],[Column4]])-1)</f>
        <v>168.3</v>
      </c>
      <c r="I164" s="68">
        <v>168.3</v>
      </c>
      <c r="J164" s="68">
        <f t="shared" si="9"/>
        <v>0</v>
      </c>
      <c r="K164" s="68">
        <f t="shared" si="8"/>
        <v>0</v>
      </c>
      <c r="L164" s="100">
        <f t="shared" si="10"/>
        <v>-0.42486133646629831</v>
      </c>
      <c r="M164" s="68">
        <f t="shared" si="11"/>
        <v>10</v>
      </c>
    </row>
    <row r="165" spans="1:13">
      <c r="A165" s="100" t="str">
        <f>MID(Page012[[#This Row],[Column5]],SEARCH("(",Page012[[#This Row],[Column5]])+1,SEARCH(")",Page012[[#This Row],[Column5]])-SEARCH("(",Page012[[#This Row],[Column5]])-1)</f>
        <v>2.77</v>
      </c>
      <c r="B165" s="68" t="s">
        <v>410</v>
      </c>
      <c r="C165" s="68" t="s">
        <v>292</v>
      </c>
      <c r="D165" s="68" t="s">
        <v>330</v>
      </c>
      <c r="E165" s="68" t="s">
        <v>411</v>
      </c>
      <c r="F165" s="68" t="s">
        <v>333</v>
      </c>
      <c r="G165" s="68">
        <v>14.78</v>
      </c>
      <c r="H165" s="100" t="str">
        <f>MID(Page012[[#This Row],[Column4]],SEARCH("(",Page012[[#This Row],[Column4]])+1,SEARCH(")",Page012[[#This Row],[Column4]])-SEARCH("(",Page012[[#This Row],[Column4]])-1)</f>
        <v>219.1</v>
      </c>
      <c r="I165" s="68">
        <v>219.1</v>
      </c>
      <c r="J165" s="68">
        <f t="shared" si="9"/>
        <v>0</v>
      </c>
      <c r="K165" s="68">
        <f t="shared" si="8"/>
        <v>0</v>
      </c>
      <c r="L165" s="100">
        <f t="shared" si="10"/>
        <v>-0.42486133646629831</v>
      </c>
      <c r="M165" s="68">
        <f t="shared" si="11"/>
        <v>10</v>
      </c>
    </row>
    <row r="166" spans="1:13">
      <c r="A166" s="100" t="str">
        <f>MID(Page012[[#This Row],[Column5]],SEARCH("(",Page012[[#This Row],[Column5]])+1,SEARCH(")",Page012[[#This Row],[Column5]])-SEARCH("(",Page012[[#This Row],[Column5]])-1)</f>
        <v>3.18</v>
      </c>
      <c r="B166" s="68" t="s">
        <v>410</v>
      </c>
      <c r="C166" s="68" t="s">
        <v>292</v>
      </c>
      <c r="D166" s="68" t="s">
        <v>292</v>
      </c>
      <c r="E166" s="68" t="s">
        <v>411</v>
      </c>
      <c r="F166" s="68" t="s">
        <v>358</v>
      </c>
      <c r="G166" s="68">
        <v>16.93</v>
      </c>
      <c r="H166" s="100" t="str">
        <f>MID(Page012[[#This Row],[Column4]],SEARCH("(",Page012[[#This Row],[Column4]])+1,SEARCH(")",Page012[[#This Row],[Column4]])-SEARCH("(",Page012[[#This Row],[Column4]])-1)</f>
        <v>219.1</v>
      </c>
      <c r="I166" s="68">
        <v>219.1</v>
      </c>
      <c r="J166" s="68">
        <f t="shared" si="9"/>
        <v>0</v>
      </c>
      <c r="K166" s="68">
        <f t="shared" si="8"/>
        <v>0</v>
      </c>
      <c r="L166" s="100">
        <f t="shared" si="10"/>
        <v>-0.42486133646629831</v>
      </c>
      <c r="M166" s="68">
        <f t="shared" si="11"/>
        <v>10</v>
      </c>
    </row>
    <row r="167" spans="1:13">
      <c r="A167" s="100" t="str">
        <f>MID(Page012[[#This Row],[Column5]],SEARCH("(",Page012[[#This Row],[Column5]])+1,SEARCH(")",Page012[[#This Row],[Column5]])-SEARCH("(",Page012[[#This Row],[Column5]])-1)</f>
        <v>3.76</v>
      </c>
      <c r="B167" s="68" t="s">
        <v>410</v>
      </c>
      <c r="C167" s="68" t="s">
        <v>292</v>
      </c>
      <c r="D167" s="68" t="s">
        <v>293</v>
      </c>
      <c r="E167" s="68" t="s">
        <v>411</v>
      </c>
      <c r="F167" s="68" t="s">
        <v>412</v>
      </c>
      <c r="G167" s="68">
        <v>19.97</v>
      </c>
      <c r="H167" s="100" t="str">
        <f>MID(Page012[[#This Row],[Column4]],SEARCH("(",Page012[[#This Row],[Column4]])+1,SEARCH(")",Page012[[#This Row],[Column4]])-SEARCH("(",Page012[[#This Row],[Column4]])-1)</f>
        <v>219.1</v>
      </c>
      <c r="I167" s="68">
        <v>219.1</v>
      </c>
      <c r="J167" s="68">
        <f t="shared" si="9"/>
        <v>0</v>
      </c>
      <c r="K167" s="68">
        <f t="shared" si="8"/>
        <v>0</v>
      </c>
      <c r="L167" s="100">
        <f t="shared" si="10"/>
        <v>-0.42486133646629831</v>
      </c>
      <c r="M167" s="68">
        <f t="shared" si="11"/>
        <v>10</v>
      </c>
    </row>
    <row r="168" spans="1:13">
      <c r="A168" s="100" t="str">
        <f>MID(Page012[[#This Row],[Column5]],SEARCH("(",Page012[[#This Row],[Column5]])+1,SEARCH(")",Page012[[#This Row],[Column5]])-SEARCH("(",Page012[[#This Row],[Column5]])-1)</f>
        <v>3.96</v>
      </c>
      <c r="B168" s="68" t="s">
        <v>410</v>
      </c>
      <c r="C168" s="68" t="s">
        <v>292</v>
      </c>
      <c r="D168" s="68" t="s">
        <v>292</v>
      </c>
      <c r="E168" s="68" t="s">
        <v>411</v>
      </c>
      <c r="F168" s="68" t="s">
        <v>372</v>
      </c>
      <c r="G168" s="68">
        <v>21.01</v>
      </c>
      <c r="H168" s="100" t="str">
        <f>MID(Page012[[#This Row],[Column4]],SEARCH("(",Page012[[#This Row],[Column4]])+1,SEARCH(")",Page012[[#This Row],[Column4]])-SEARCH("(",Page012[[#This Row],[Column4]])-1)</f>
        <v>219.1</v>
      </c>
      <c r="I168" s="68">
        <v>219.1</v>
      </c>
      <c r="J168" s="68">
        <f t="shared" si="9"/>
        <v>0</v>
      </c>
      <c r="K168" s="68">
        <f t="shared" si="8"/>
        <v>0</v>
      </c>
      <c r="L168" s="100">
        <f t="shared" si="10"/>
        <v>-0.42486133646629831</v>
      </c>
      <c r="M168" s="68">
        <f t="shared" si="11"/>
        <v>10</v>
      </c>
    </row>
    <row r="169" spans="1:13">
      <c r="A169" s="100" t="str">
        <f>MID(Page012[[#This Row],[Column5]],SEARCH("(",Page012[[#This Row],[Column5]])+1,SEARCH(")",Page012[[#This Row],[Column5]])-SEARCH("(",Page012[[#This Row],[Column5]])-1)</f>
        <v>4.78</v>
      </c>
      <c r="B169" s="68" t="s">
        <v>410</v>
      </c>
      <c r="C169" s="68" t="s">
        <v>292</v>
      </c>
      <c r="D169" s="68" t="s">
        <v>292</v>
      </c>
      <c r="E169" s="68" t="s">
        <v>411</v>
      </c>
      <c r="F169" s="68" t="s">
        <v>335</v>
      </c>
      <c r="G169" s="68">
        <v>25.26</v>
      </c>
      <c r="H169" s="100" t="str">
        <f>MID(Page012[[#This Row],[Column4]],SEARCH("(",Page012[[#This Row],[Column4]])+1,SEARCH(")",Page012[[#This Row],[Column4]])-SEARCH("(",Page012[[#This Row],[Column4]])-1)</f>
        <v>219.1</v>
      </c>
      <c r="I169" s="68">
        <v>219.1</v>
      </c>
      <c r="J169" s="68">
        <f t="shared" si="9"/>
        <v>0</v>
      </c>
      <c r="K169" s="68">
        <f t="shared" si="8"/>
        <v>0</v>
      </c>
      <c r="L169" s="100">
        <f t="shared" si="10"/>
        <v>-0.42486133646629831</v>
      </c>
      <c r="M169" s="68">
        <f t="shared" si="11"/>
        <v>10</v>
      </c>
    </row>
    <row r="170" spans="1:13">
      <c r="A170" s="100" t="str">
        <f>MID(Page012[[#This Row],[Column5]],SEARCH("(",Page012[[#This Row],[Column5]])+1,SEARCH(")",Page012[[#This Row],[Column5]])-SEARCH("(",Page012[[#This Row],[Column5]])-1)</f>
        <v>5.16</v>
      </c>
      <c r="B170" s="68" t="s">
        <v>410</v>
      </c>
      <c r="C170" s="68" t="s">
        <v>292</v>
      </c>
      <c r="D170" s="68" t="s">
        <v>292</v>
      </c>
      <c r="E170" s="68" t="s">
        <v>411</v>
      </c>
      <c r="F170" s="68" t="s">
        <v>373</v>
      </c>
      <c r="G170" s="68">
        <v>27.22</v>
      </c>
      <c r="H170" s="100" t="str">
        <f>MID(Page012[[#This Row],[Column4]],SEARCH("(",Page012[[#This Row],[Column4]])+1,SEARCH(")",Page012[[#This Row],[Column4]])-SEARCH("(",Page012[[#This Row],[Column4]])-1)</f>
        <v>219.1</v>
      </c>
      <c r="I170" s="68">
        <v>219.1</v>
      </c>
      <c r="J170" s="68">
        <f t="shared" si="9"/>
        <v>0</v>
      </c>
      <c r="K170" s="68">
        <f t="shared" si="8"/>
        <v>0</v>
      </c>
      <c r="L170" s="100">
        <f t="shared" si="10"/>
        <v>-0.42486133646629831</v>
      </c>
      <c r="M170" s="68">
        <f t="shared" si="11"/>
        <v>10</v>
      </c>
    </row>
    <row r="171" spans="1:13">
      <c r="A171" s="100" t="str">
        <f>MID(Page012[[#This Row],[Column5]],SEARCH("(",Page012[[#This Row],[Column5]])+1,SEARCH(")",Page012[[#This Row],[Column5]])-SEARCH("(",Page012[[#This Row],[Column5]])-1)</f>
        <v>5.56</v>
      </c>
      <c r="B171" s="68" t="s">
        <v>410</v>
      </c>
      <c r="C171" s="68" t="s">
        <v>292</v>
      </c>
      <c r="D171" s="68" t="s">
        <v>292</v>
      </c>
      <c r="E171" s="68" t="s">
        <v>411</v>
      </c>
      <c r="F171" s="68" t="s">
        <v>341</v>
      </c>
      <c r="G171" s="68">
        <v>29.28</v>
      </c>
      <c r="H171" s="100" t="str">
        <f>MID(Page012[[#This Row],[Column4]],SEARCH("(",Page012[[#This Row],[Column4]])+1,SEARCH(")",Page012[[#This Row],[Column4]])-SEARCH("(",Page012[[#This Row],[Column4]])-1)</f>
        <v>219.1</v>
      </c>
      <c r="I171" s="68">
        <v>219.1</v>
      </c>
      <c r="J171" s="68">
        <f t="shared" si="9"/>
        <v>0</v>
      </c>
      <c r="K171" s="68">
        <f t="shared" si="8"/>
        <v>0</v>
      </c>
      <c r="L171" s="100">
        <f t="shared" si="10"/>
        <v>-0.42486133646629831</v>
      </c>
      <c r="M171" s="68">
        <f t="shared" si="11"/>
        <v>10</v>
      </c>
    </row>
    <row r="172" spans="1:13">
      <c r="A172" s="100" t="str">
        <f>MID(Page012[[#This Row],[Column5]],SEARCH("(",Page012[[#This Row],[Column5]])+1,SEARCH(")",Page012[[#This Row],[Column5]])-SEARCH("(",Page012[[#This Row],[Column5]])-1)</f>
        <v>6.35</v>
      </c>
      <c r="B172" s="68" t="s">
        <v>410</v>
      </c>
      <c r="C172" s="68" t="s">
        <v>292</v>
      </c>
      <c r="D172" s="68" t="s">
        <v>413</v>
      </c>
      <c r="E172" s="68" t="s">
        <v>411</v>
      </c>
      <c r="F172" s="68" t="s">
        <v>348</v>
      </c>
      <c r="G172" s="68">
        <v>33.32</v>
      </c>
      <c r="H172" s="100" t="str">
        <f>MID(Page012[[#This Row],[Column4]],SEARCH("(",Page012[[#This Row],[Column4]])+1,SEARCH(")",Page012[[#This Row],[Column4]])-SEARCH("(",Page012[[#This Row],[Column4]])-1)</f>
        <v>219.1</v>
      </c>
      <c r="I172" s="68">
        <v>219.1</v>
      </c>
      <c r="J172" s="68">
        <f t="shared" si="9"/>
        <v>0</v>
      </c>
      <c r="K172" s="68">
        <f t="shared" si="8"/>
        <v>0</v>
      </c>
      <c r="L172" s="100">
        <f t="shared" si="10"/>
        <v>-0.42486133646629831</v>
      </c>
      <c r="M172" s="68">
        <f t="shared" si="11"/>
        <v>10</v>
      </c>
    </row>
    <row r="173" spans="1:13">
      <c r="A173" s="100" t="str">
        <f>MID(Page012[[#This Row],[Column5]],SEARCH("(",Page012[[#This Row],[Column5]])+1,SEARCH(")",Page012[[#This Row],[Column5]])-SEARCH("(",Page012[[#This Row],[Column5]])-1)</f>
        <v>7.04</v>
      </c>
      <c r="B173" s="68" t="s">
        <v>410</v>
      </c>
      <c r="C173" s="68" t="s">
        <v>292</v>
      </c>
      <c r="D173" s="68" t="s">
        <v>297</v>
      </c>
      <c r="E173" s="68" t="s">
        <v>411</v>
      </c>
      <c r="F173" s="68" t="s">
        <v>414</v>
      </c>
      <c r="G173" s="68">
        <v>36.82</v>
      </c>
      <c r="H173" s="100" t="str">
        <f>MID(Page012[[#This Row],[Column4]],SEARCH("(",Page012[[#This Row],[Column4]])+1,SEARCH(")",Page012[[#This Row],[Column4]])-SEARCH("(",Page012[[#This Row],[Column4]])-1)</f>
        <v>219.1</v>
      </c>
      <c r="I173" s="68">
        <v>219.1</v>
      </c>
      <c r="J173" s="68">
        <f t="shared" si="9"/>
        <v>0</v>
      </c>
      <c r="K173" s="68">
        <f t="shared" si="8"/>
        <v>0</v>
      </c>
      <c r="L173" s="100">
        <f t="shared" si="10"/>
        <v>-0.42486133646629831</v>
      </c>
      <c r="M173" s="68">
        <f t="shared" si="11"/>
        <v>10</v>
      </c>
    </row>
    <row r="174" spans="1:13">
      <c r="A174" s="100" t="str">
        <f>MID(Page012[[#This Row],[Column5]],SEARCH("(",Page012[[#This Row],[Column5]])+1,SEARCH(")",Page012[[#This Row],[Column5]])-SEARCH("(",Page012[[#This Row],[Column5]])-1)</f>
        <v>7.92</v>
      </c>
      <c r="B174" s="68" t="s">
        <v>410</v>
      </c>
      <c r="C174" s="68" t="s">
        <v>292</v>
      </c>
      <c r="D174" s="68" t="s">
        <v>292</v>
      </c>
      <c r="E174" s="68" t="s">
        <v>411</v>
      </c>
      <c r="F174" s="68" t="s">
        <v>390</v>
      </c>
      <c r="G174" s="68">
        <v>41.25</v>
      </c>
      <c r="H174" s="100" t="str">
        <f>MID(Page012[[#This Row],[Column4]],SEARCH("(",Page012[[#This Row],[Column4]])+1,SEARCH(")",Page012[[#This Row],[Column4]])-SEARCH("(",Page012[[#This Row],[Column4]])-1)</f>
        <v>219.1</v>
      </c>
      <c r="I174" s="68">
        <v>219.1</v>
      </c>
      <c r="J174" s="68">
        <f t="shared" si="9"/>
        <v>0</v>
      </c>
      <c r="K174" s="68">
        <f t="shared" si="8"/>
        <v>0</v>
      </c>
      <c r="L174" s="100">
        <f t="shared" si="10"/>
        <v>-0.42486133646629831</v>
      </c>
      <c r="M174" s="68">
        <f t="shared" si="11"/>
        <v>10</v>
      </c>
    </row>
    <row r="175" spans="1:13">
      <c r="A175" s="100" t="str">
        <f>MID(Page012[[#This Row],[Column5]],SEARCH("(",Page012[[#This Row],[Column5]])+1,SEARCH(")",Page012[[#This Row],[Column5]])-SEARCH("(",Page012[[#This Row],[Column5]])-1)</f>
        <v>8.18</v>
      </c>
      <c r="B175" s="68" t="s">
        <v>410</v>
      </c>
      <c r="C175" s="68" t="s">
        <v>300</v>
      </c>
      <c r="D175" s="68" t="s">
        <v>301</v>
      </c>
      <c r="E175" s="68" t="s">
        <v>411</v>
      </c>
      <c r="F175" s="68" t="s">
        <v>415</v>
      </c>
      <c r="G175" s="68">
        <v>42.55</v>
      </c>
      <c r="H175" s="100" t="str">
        <f>MID(Page012[[#This Row],[Column4]],SEARCH("(",Page012[[#This Row],[Column4]])+1,SEARCH(")",Page012[[#This Row],[Column4]])-SEARCH("(",Page012[[#This Row],[Column4]])-1)</f>
        <v>219.1</v>
      </c>
      <c r="I175" s="68">
        <v>219.1</v>
      </c>
      <c r="J175" s="68">
        <f t="shared" si="9"/>
        <v>0</v>
      </c>
      <c r="K175" s="68">
        <f t="shared" si="8"/>
        <v>0</v>
      </c>
      <c r="L175" s="100">
        <f t="shared" si="10"/>
        <v>-0.42486133646629831</v>
      </c>
      <c r="M175" s="68">
        <f t="shared" si="11"/>
        <v>10</v>
      </c>
    </row>
    <row r="176" spans="1:13">
      <c r="A176" s="100" t="str">
        <f>MID(Page012[[#This Row],[Column5]],SEARCH("(",Page012[[#This Row],[Column5]])+1,SEARCH(")",Page012[[#This Row],[Column5]])-SEARCH("(",Page012[[#This Row],[Column5]])-1)</f>
        <v>8.74</v>
      </c>
      <c r="B176" s="68" t="s">
        <v>410</v>
      </c>
      <c r="C176" s="68" t="s">
        <v>292</v>
      </c>
      <c r="D176" s="68" t="s">
        <v>292</v>
      </c>
      <c r="E176" s="68" t="s">
        <v>411</v>
      </c>
      <c r="F176" s="68" t="s">
        <v>367</v>
      </c>
      <c r="G176" s="68">
        <v>45.34</v>
      </c>
      <c r="H176" s="100" t="str">
        <f>MID(Page012[[#This Row],[Column4]],SEARCH("(",Page012[[#This Row],[Column4]])+1,SEARCH(")",Page012[[#This Row],[Column4]])-SEARCH("(",Page012[[#This Row],[Column4]])-1)</f>
        <v>219.1</v>
      </c>
      <c r="I176" s="68">
        <v>219.1</v>
      </c>
      <c r="J176" s="68">
        <f t="shared" si="9"/>
        <v>0</v>
      </c>
      <c r="K176" s="68">
        <f t="shared" si="8"/>
        <v>0</v>
      </c>
      <c r="L176" s="100">
        <f t="shared" si="10"/>
        <v>-0.42486133646629831</v>
      </c>
      <c r="M176" s="68">
        <f t="shared" si="11"/>
        <v>10</v>
      </c>
    </row>
    <row r="177" spans="1:13">
      <c r="A177" s="100" t="str">
        <f>MID(Page012[[#This Row],[Column5]],SEARCH("(",Page012[[#This Row],[Column5]])+1,SEARCH(")",Page012[[#This Row],[Column5]])-SEARCH("(",Page012[[#This Row],[Column5]])-1)</f>
        <v>9.53</v>
      </c>
      <c r="B177" s="68" t="s">
        <v>410</v>
      </c>
      <c r="C177" s="68" t="s">
        <v>292</v>
      </c>
      <c r="D177" s="68" t="s">
        <v>292</v>
      </c>
      <c r="E177" s="68" t="s">
        <v>411</v>
      </c>
      <c r="F177" s="68" t="s">
        <v>376</v>
      </c>
      <c r="G177" s="68">
        <v>49.25</v>
      </c>
      <c r="H177" s="100" t="str">
        <f>MID(Page012[[#This Row],[Column4]],SEARCH("(",Page012[[#This Row],[Column4]])+1,SEARCH(")",Page012[[#This Row],[Column4]])-SEARCH("(",Page012[[#This Row],[Column4]])-1)</f>
        <v>219.1</v>
      </c>
      <c r="I177" s="68">
        <v>219.1</v>
      </c>
      <c r="J177" s="68">
        <f t="shared" si="9"/>
        <v>0</v>
      </c>
      <c r="K177" s="68">
        <f t="shared" si="8"/>
        <v>0</v>
      </c>
      <c r="L177" s="100">
        <f t="shared" si="10"/>
        <v>-0.42486133646629831</v>
      </c>
      <c r="M177" s="68">
        <f t="shared" si="11"/>
        <v>10</v>
      </c>
    </row>
    <row r="178" spans="1:13">
      <c r="A178" s="100" t="str">
        <f>MID(Page012[[#This Row],[Column5]],SEARCH("(",Page012[[#This Row],[Column5]])+1,SEARCH(")",Page012[[#This Row],[Column5]])-SEARCH("(",Page012[[#This Row],[Column5]])-1)</f>
        <v>10.31</v>
      </c>
      <c r="B178" s="68" t="s">
        <v>410</v>
      </c>
      <c r="C178" s="68" t="s">
        <v>292</v>
      </c>
      <c r="D178" s="68" t="s">
        <v>416</v>
      </c>
      <c r="E178" s="68" t="s">
        <v>411</v>
      </c>
      <c r="F178" s="68" t="s">
        <v>417</v>
      </c>
      <c r="G178" s="68">
        <v>53.09</v>
      </c>
      <c r="H178" s="100" t="str">
        <f>MID(Page012[[#This Row],[Column4]],SEARCH("(",Page012[[#This Row],[Column4]])+1,SEARCH(")",Page012[[#This Row],[Column4]])-SEARCH("(",Page012[[#This Row],[Column4]])-1)</f>
        <v>219.1</v>
      </c>
      <c r="I178" s="68">
        <v>219.1</v>
      </c>
      <c r="J178" s="68">
        <f t="shared" si="9"/>
        <v>0</v>
      </c>
      <c r="K178" s="68">
        <f t="shared" si="8"/>
        <v>0</v>
      </c>
      <c r="L178" s="100">
        <f t="shared" si="10"/>
        <v>-0.42486133646629831</v>
      </c>
      <c r="M178" s="68">
        <f t="shared" si="11"/>
        <v>10</v>
      </c>
    </row>
    <row r="179" spans="1:13">
      <c r="A179" s="100" t="str">
        <f>MID(Page012[[#This Row],[Column5]],SEARCH("(",Page012[[#This Row],[Column5]])+1,SEARCH(")",Page012[[#This Row],[Column5]])-SEARCH("(",Page012[[#This Row],[Column5]])-1)</f>
        <v>11.13</v>
      </c>
      <c r="B179" s="68" t="s">
        <v>410</v>
      </c>
      <c r="C179" s="68" t="s">
        <v>292</v>
      </c>
      <c r="D179" s="68" t="s">
        <v>292</v>
      </c>
      <c r="E179" s="68" t="s">
        <v>411</v>
      </c>
      <c r="F179" s="68" t="s">
        <v>381</v>
      </c>
      <c r="G179" s="68">
        <v>57.08</v>
      </c>
      <c r="H179" s="100" t="str">
        <f>MID(Page012[[#This Row],[Column4]],SEARCH("(",Page012[[#This Row],[Column4]])+1,SEARCH(")",Page012[[#This Row],[Column4]])-SEARCH("(",Page012[[#This Row],[Column4]])-1)</f>
        <v>219.1</v>
      </c>
      <c r="I179" s="68">
        <v>219.1</v>
      </c>
      <c r="J179" s="68">
        <f t="shared" si="9"/>
        <v>0</v>
      </c>
      <c r="K179" s="68">
        <f t="shared" si="8"/>
        <v>0</v>
      </c>
      <c r="L179" s="100">
        <f t="shared" si="10"/>
        <v>-0.42486133646629831</v>
      </c>
      <c r="M179" s="68">
        <f t="shared" si="11"/>
        <v>10</v>
      </c>
    </row>
    <row r="180" spans="1:13">
      <c r="A180" s="100" t="str">
        <f>MID(Page012[[#This Row],[Column5]],SEARCH("(",Page012[[#This Row],[Column5]])+1,SEARCH(")",Page012[[#This Row],[Column5]])-SEARCH("(",Page012[[#This Row],[Column5]])-1)</f>
        <v>12.70</v>
      </c>
      <c r="B180" s="68" t="s">
        <v>410</v>
      </c>
      <c r="C180" s="68" t="s">
        <v>303</v>
      </c>
      <c r="D180" s="68" t="s">
        <v>304</v>
      </c>
      <c r="E180" s="68" t="s">
        <v>411</v>
      </c>
      <c r="F180" s="68" t="s">
        <v>399</v>
      </c>
      <c r="G180" s="68">
        <v>64.64</v>
      </c>
      <c r="H180" s="100" t="str">
        <f>MID(Page012[[#This Row],[Column4]],SEARCH("(",Page012[[#This Row],[Column4]])+1,SEARCH(")",Page012[[#This Row],[Column4]])-SEARCH("(",Page012[[#This Row],[Column4]])-1)</f>
        <v>219.1</v>
      </c>
      <c r="I180" s="68">
        <v>219.1</v>
      </c>
      <c r="J180" s="68">
        <f t="shared" si="9"/>
        <v>0</v>
      </c>
      <c r="K180" s="68">
        <f t="shared" si="8"/>
        <v>0</v>
      </c>
      <c r="L180" s="100">
        <f t="shared" si="10"/>
        <v>-0.42486133646629831</v>
      </c>
      <c r="M180" s="68">
        <f t="shared" si="11"/>
        <v>10</v>
      </c>
    </row>
    <row r="181" spans="1:13">
      <c r="A181" s="100" t="str">
        <f>MID(Page012[[#This Row],[Column5]],SEARCH("(",Page012[[#This Row],[Column5]])+1,SEARCH(")",Page012[[#This Row],[Column5]])-SEARCH("(",Page012[[#This Row],[Column5]])-1)</f>
        <v>14.27</v>
      </c>
      <c r="B181" s="68" t="s">
        <v>410</v>
      </c>
      <c r="C181" s="68" t="s">
        <v>292</v>
      </c>
      <c r="D181" s="68" t="s">
        <v>292</v>
      </c>
      <c r="E181" s="68" t="s">
        <v>411</v>
      </c>
      <c r="F181" s="68" t="s">
        <v>406</v>
      </c>
      <c r="G181" s="68">
        <v>72.08</v>
      </c>
      <c r="H181" s="100" t="str">
        <f>MID(Page012[[#This Row],[Column4]],SEARCH("(",Page012[[#This Row],[Column4]])+1,SEARCH(")",Page012[[#This Row],[Column4]])-SEARCH("(",Page012[[#This Row],[Column4]])-1)</f>
        <v>219.1</v>
      </c>
      <c r="I181" s="68">
        <v>219.1</v>
      </c>
      <c r="J181" s="68">
        <f t="shared" si="9"/>
        <v>0</v>
      </c>
      <c r="K181" s="68">
        <f t="shared" si="8"/>
        <v>0</v>
      </c>
      <c r="L181" s="100">
        <f t="shared" si="10"/>
        <v>-0.42486133646629831</v>
      </c>
      <c r="M181" s="68">
        <f t="shared" si="11"/>
        <v>10</v>
      </c>
    </row>
    <row r="182" spans="1:13">
      <c r="A182" s="100" t="str">
        <f>MID(Page012[[#This Row],[Column5]],SEARCH("(",Page012[[#This Row],[Column5]])+1,SEARCH(")",Page012[[#This Row],[Column5]])-SEARCH("(",Page012[[#This Row],[Column5]])-1)</f>
        <v>15.09</v>
      </c>
      <c r="B182" s="68" t="s">
        <v>410</v>
      </c>
      <c r="C182" s="68" t="s">
        <v>292</v>
      </c>
      <c r="D182" s="68" t="s">
        <v>418</v>
      </c>
      <c r="E182" s="68" t="s">
        <v>411</v>
      </c>
      <c r="F182" s="68" t="s">
        <v>419</v>
      </c>
      <c r="G182" s="68">
        <v>75.92</v>
      </c>
      <c r="H182" s="100" t="str">
        <f>MID(Page012[[#This Row],[Column4]],SEARCH("(",Page012[[#This Row],[Column4]])+1,SEARCH(")",Page012[[#This Row],[Column4]])-SEARCH("(",Page012[[#This Row],[Column4]])-1)</f>
        <v>219.1</v>
      </c>
      <c r="I182" s="68">
        <v>219.1</v>
      </c>
      <c r="J182" s="68">
        <f t="shared" si="9"/>
        <v>0</v>
      </c>
      <c r="K182" s="68">
        <f t="shared" si="8"/>
        <v>0</v>
      </c>
      <c r="L182" s="100">
        <f t="shared" si="10"/>
        <v>-0.42486133646629831</v>
      </c>
      <c r="M182" s="68">
        <f t="shared" si="11"/>
        <v>10</v>
      </c>
    </row>
    <row r="183" spans="1:13">
      <c r="A183" s="100" t="str">
        <f>MID(Page012[[#This Row],[Column5]],SEARCH("(",Page012[[#This Row],[Column5]])+1,SEARCH(")",Page012[[#This Row],[Column5]])-SEARCH("(",Page012[[#This Row],[Column5]])-1)</f>
        <v>15.88</v>
      </c>
      <c r="B183" s="68" t="s">
        <v>410</v>
      </c>
      <c r="C183" s="68" t="s">
        <v>292</v>
      </c>
      <c r="D183" s="68" t="s">
        <v>292</v>
      </c>
      <c r="E183" s="68" t="s">
        <v>411</v>
      </c>
      <c r="F183" s="68" t="s">
        <v>400</v>
      </c>
      <c r="G183" s="68">
        <v>79.59</v>
      </c>
      <c r="H183" s="100" t="str">
        <f>MID(Page012[[#This Row],[Column4]],SEARCH("(",Page012[[#This Row],[Column4]])+1,SEARCH(")",Page012[[#This Row],[Column4]])-SEARCH("(",Page012[[#This Row],[Column4]])-1)</f>
        <v>219.1</v>
      </c>
      <c r="I183" s="68">
        <v>219.1</v>
      </c>
      <c r="J183" s="68">
        <f t="shared" si="9"/>
        <v>0</v>
      </c>
      <c r="K183" s="68">
        <f t="shared" si="8"/>
        <v>0</v>
      </c>
      <c r="L183" s="100">
        <f t="shared" si="10"/>
        <v>-0.42486133646629831</v>
      </c>
      <c r="M183" s="68">
        <f t="shared" si="11"/>
        <v>10</v>
      </c>
    </row>
    <row r="184" spans="1:13">
      <c r="A184" s="100" t="str">
        <f>MID(Page012[[#This Row],[Column5]],SEARCH("(",Page012[[#This Row],[Column5]])+1,SEARCH(")",Page012[[#This Row],[Column5]])-SEARCH("(",Page012[[#This Row],[Column5]])-1)</f>
        <v>18.26</v>
      </c>
      <c r="B184" s="68" t="s">
        <v>410</v>
      </c>
      <c r="C184" s="68" t="s">
        <v>292</v>
      </c>
      <c r="D184" s="68" t="s">
        <v>392</v>
      </c>
      <c r="E184" s="68" t="s">
        <v>411</v>
      </c>
      <c r="F184" s="68" t="s">
        <v>407</v>
      </c>
      <c r="G184" s="68">
        <v>90.44</v>
      </c>
      <c r="H184" s="100" t="str">
        <f>MID(Page012[[#This Row],[Column4]],SEARCH("(",Page012[[#This Row],[Column4]])+1,SEARCH(")",Page012[[#This Row],[Column4]])-SEARCH("(",Page012[[#This Row],[Column4]])-1)</f>
        <v>219.1</v>
      </c>
      <c r="I184" s="68">
        <v>219.1</v>
      </c>
      <c r="J184" s="68">
        <f t="shared" si="9"/>
        <v>0</v>
      </c>
      <c r="K184" s="68">
        <f t="shared" si="8"/>
        <v>0</v>
      </c>
      <c r="L184" s="100">
        <f t="shared" si="10"/>
        <v>-0.42486133646629831</v>
      </c>
      <c r="M184" s="68">
        <f t="shared" si="11"/>
        <v>10</v>
      </c>
    </row>
    <row r="185" spans="1:13">
      <c r="A185" s="100" t="str">
        <f>MID(Page012[[#This Row],[Column5]],SEARCH("(",Page012[[#This Row],[Column5]])+1,SEARCH(")",Page012[[#This Row],[Column5]])-SEARCH("(",Page012[[#This Row],[Column5]])-1)</f>
        <v>19.05</v>
      </c>
      <c r="B185" s="68" t="s">
        <v>410</v>
      </c>
      <c r="C185" s="68" t="s">
        <v>292</v>
      </c>
      <c r="D185" s="68" t="s">
        <v>292</v>
      </c>
      <c r="E185" s="68" t="s">
        <v>411</v>
      </c>
      <c r="F185" s="68" t="s">
        <v>401</v>
      </c>
      <c r="G185" s="68">
        <v>93.88</v>
      </c>
      <c r="H185" s="100" t="str">
        <f>MID(Page012[[#This Row],[Column4]],SEARCH("(",Page012[[#This Row],[Column4]])+1,SEARCH(")",Page012[[#This Row],[Column4]])-SEARCH("(",Page012[[#This Row],[Column4]])-1)</f>
        <v>219.1</v>
      </c>
      <c r="I185" s="68">
        <v>219.1</v>
      </c>
      <c r="J185" s="68">
        <f t="shared" si="9"/>
        <v>0</v>
      </c>
      <c r="K185" s="68">
        <f t="shared" si="8"/>
        <v>0</v>
      </c>
      <c r="L185" s="100">
        <f t="shared" si="10"/>
        <v>-0.42486133646629831</v>
      </c>
      <c r="M185" s="68">
        <f t="shared" si="11"/>
        <v>10</v>
      </c>
    </row>
    <row r="186" spans="1:13">
      <c r="A186" s="100" t="str">
        <f>MID(Page012[[#This Row],[Column5]],SEARCH("(",Page012[[#This Row],[Column5]])+1,SEARCH(")",Page012[[#This Row],[Column5]])-SEARCH("(",Page012[[#This Row],[Column5]])-1)</f>
        <v>20.62</v>
      </c>
      <c r="B186" s="68" t="s">
        <v>410</v>
      </c>
      <c r="C186" s="68" t="s">
        <v>292</v>
      </c>
      <c r="D186" s="68" t="s">
        <v>420</v>
      </c>
      <c r="E186" s="68" t="s">
        <v>411</v>
      </c>
      <c r="F186" s="68" t="s">
        <v>421</v>
      </c>
      <c r="G186" s="68">
        <v>100.93</v>
      </c>
      <c r="H186" s="100" t="str">
        <f>MID(Page012[[#This Row],[Column4]],SEARCH("(",Page012[[#This Row],[Column4]])+1,SEARCH(")",Page012[[#This Row],[Column4]])-SEARCH("(",Page012[[#This Row],[Column4]])-1)</f>
        <v>219.1</v>
      </c>
      <c r="I186" s="68">
        <v>219.1</v>
      </c>
      <c r="J186" s="68">
        <f t="shared" si="9"/>
        <v>0</v>
      </c>
      <c r="K186" s="68">
        <f t="shared" si="8"/>
        <v>0</v>
      </c>
      <c r="L186" s="100">
        <f t="shared" si="10"/>
        <v>-0.42486133646629831</v>
      </c>
      <c r="M186" s="68">
        <f t="shared" si="11"/>
        <v>10</v>
      </c>
    </row>
    <row r="187" spans="1:13">
      <c r="A187" s="100" t="str">
        <f>MID(Page012[[#This Row],[Column5]],SEARCH("(",Page012[[#This Row],[Column5]])+1,SEARCH(")",Page012[[#This Row],[Column5]])-SEARCH("(",Page012[[#This Row],[Column5]])-1)</f>
        <v>22.23</v>
      </c>
      <c r="B187" s="68" t="s">
        <v>410</v>
      </c>
      <c r="C187" s="68" t="s">
        <v>308</v>
      </c>
      <c r="D187" s="68" t="s">
        <v>292</v>
      </c>
      <c r="E187" s="68" t="s">
        <v>411</v>
      </c>
      <c r="F187" s="68" t="s">
        <v>409</v>
      </c>
      <c r="G187" s="68">
        <v>107.93</v>
      </c>
      <c r="H187" s="100" t="str">
        <f>MID(Page012[[#This Row],[Column4]],SEARCH("(",Page012[[#This Row],[Column4]])+1,SEARCH(")",Page012[[#This Row],[Column4]])-SEARCH("(",Page012[[#This Row],[Column4]])-1)</f>
        <v>219.1</v>
      </c>
      <c r="I187" s="68">
        <v>219.1</v>
      </c>
      <c r="J187" s="68">
        <f t="shared" si="9"/>
        <v>0</v>
      </c>
      <c r="K187" s="68">
        <f t="shared" si="8"/>
        <v>0</v>
      </c>
      <c r="L187" s="100">
        <f t="shared" si="10"/>
        <v>-0.42486133646629831</v>
      </c>
      <c r="M187" s="68">
        <f t="shared" si="11"/>
        <v>10</v>
      </c>
    </row>
    <row r="188" spans="1:13">
      <c r="A188" s="100" t="str">
        <f>MID(Page012[[#This Row],[Column5]],SEARCH("(",Page012[[#This Row],[Column5]])+1,SEARCH(")",Page012[[#This Row],[Column5]])-SEARCH("(",Page012[[#This Row],[Column5]])-1)</f>
        <v>23.01</v>
      </c>
      <c r="B188" s="68" t="s">
        <v>410</v>
      </c>
      <c r="C188" s="68" t="s">
        <v>292</v>
      </c>
      <c r="D188" s="68" t="s">
        <v>306</v>
      </c>
      <c r="E188" s="68" t="s">
        <v>411</v>
      </c>
      <c r="F188" s="68" t="s">
        <v>422</v>
      </c>
      <c r="G188" s="68">
        <v>111.27</v>
      </c>
      <c r="H188" s="100" t="str">
        <f>MID(Page012[[#This Row],[Column4]],SEARCH("(",Page012[[#This Row],[Column4]])+1,SEARCH(")",Page012[[#This Row],[Column4]])-SEARCH("(",Page012[[#This Row],[Column4]])-1)</f>
        <v>219.1</v>
      </c>
      <c r="I188" s="68">
        <v>219.1</v>
      </c>
      <c r="J188" s="68">
        <f t="shared" si="9"/>
        <v>0</v>
      </c>
      <c r="K188" s="68">
        <f t="shared" si="8"/>
        <v>0</v>
      </c>
      <c r="L188" s="100">
        <f t="shared" si="10"/>
        <v>-0.42486133646629831</v>
      </c>
      <c r="M188" s="68">
        <f t="shared" si="11"/>
        <v>10</v>
      </c>
    </row>
    <row r="189" spans="1:13">
      <c r="A189" s="100" t="str">
        <f>MID(Page012[[#This Row],[Column5]],SEARCH("(",Page012[[#This Row],[Column5]])+1,SEARCH(")",Page012[[#This Row],[Column5]])-SEARCH("(",Page012[[#This Row],[Column5]])-1)</f>
        <v>25.40</v>
      </c>
      <c r="B189" s="68" t="s">
        <v>410</v>
      </c>
      <c r="C189" s="68" t="s">
        <v>292</v>
      </c>
      <c r="D189" s="68" t="s">
        <v>292</v>
      </c>
      <c r="E189" s="68" t="s">
        <v>411</v>
      </c>
      <c r="F189" s="68" t="s">
        <v>423</v>
      </c>
      <c r="G189" s="68">
        <v>121.33</v>
      </c>
      <c r="H189" s="100" t="str">
        <f>MID(Page012[[#This Row],[Column4]],SEARCH("(",Page012[[#This Row],[Column4]])+1,SEARCH(")",Page012[[#This Row],[Column4]])-SEARCH("(",Page012[[#This Row],[Column4]])-1)</f>
        <v>219.1</v>
      </c>
      <c r="I189" s="68">
        <v>219.1</v>
      </c>
      <c r="J189" s="68">
        <f t="shared" si="9"/>
        <v>0</v>
      </c>
      <c r="K189" s="68">
        <f t="shared" si="8"/>
        <v>0</v>
      </c>
      <c r="L189" s="100">
        <f t="shared" si="10"/>
        <v>-0.42486133646629831</v>
      </c>
      <c r="M189" s="68">
        <f t="shared" si="11"/>
        <v>10</v>
      </c>
    </row>
    <row r="190" spans="1:13">
      <c r="A190" s="100" t="str">
        <f>MID(Page012[[#This Row],[Column5]],SEARCH("(",Page012[[#This Row],[Column5]])+1,SEARCH(")",Page012[[#This Row],[Column5]])-SEARCH("(",Page012[[#This Row],[Column5]])-1)</f>
        <v>3.40</v>
      </c>
      <c r="B190" s="68" t="s">
        <v>424</v>
      </c>
      <c r="C190" s="68" t="s">
        <v>292</v>
      </c>
      <c r="D190" s="68" t="s">
        <v>330</v>
      </c>
      <c r="E190" s="68" t="s">
        <v>425</v>
      </c>
      <c r="F190" s="68" t="s">
        <v>397</v>
      </c>
      <c r="G190" s="68">
        <v>22.61</v>
      </c>
      <c r="H190" s="100" t="str">
        <f>MID(Page012[[#This Row],[Column4]],SEARCH("(",Page012[[#This Row],[Column4]])+1,SEARCH(")",Page012[[#This Row],[Column4]])-SEARCH("(",Page012[[#This Row],[Column4]])-1)</f>
        <v>273.0</v>
      </c>
      <c r="I190" s="68">
        <v>273</v>
      </c>
      <c r="J190" s="68">
        <f t="shared" si="9"/>
        <v>0</v>
      </c>
      <c r="K190" s="68">
        <f t="shared" si="8"/>
        <v>0</v>
      </c>
      <c r="L190" s="100">
        <f t="shared" si="10"/>
        <v>-0.42486133646629831</v>
      </c>
      <c r="M190" s="68">
        <f t="shared" si="11"/>
        <v>10</v>
      </c>
    </row>
    <row r="191" spans="1:13">
      <c r="A191" s="100" t="str">
        <f>MID(Page012[[#This Row],[Column5]],SEARCH("(",Page012[[#This Row],[Column5]])+1,SEARCH(")",Page012[[#This Row],[Column5]])-SEARCH("(",Page012[[#This Row],[Column5]])-1)</f>
        <v>3.96</v>
      </c>
      <c r="B191" s="68" t="s">
        <v>424</v>
      </c>
      <c r="C191" s="68" t="s">
        <v>292</v>
      </c>
      <c r="D191" s="68" t="s">
        <v>292</v>
      </c>
      <c r="E191" s="68" t="s">
        <v>425</v>
      </c>
      <c r="F191" s="68" t="s">
        <v>372</v>
      </c>
      <c r="G191" s="68">
        <v>26.27</v>
      </c>
      <c r="H191" s="100" t="str">
        <f>MID(Page012[[#This Row],[Column4]],SEARCH("(",Page012[[#This Row],[Column4]])+1,SEARCH(")",Page012[[#This Row],[Column4]])-SEARCH("(",Page012[[#This Row],[Column4]])-1)</f>
        <v>273.0</v>
      </c>
      <c r="I191" s="68">
        <v>273</v>
      </c>
      <c r="J191" s="68">
        <f t="shared" si="9"/>
        <v>0</v>
      </c>
      <c r="K191" s="68">
        <f t="shared" si="8"/>
        <v>0</v>
      </c>
      <c r="L191" s="100">
        <f t="shared" si="10"/>
        <v>-0.42486133646629831</v>
      </c>
      <c r="M191" s="68">
        <f t="shared" si="11"/>
        <v>10</v>
      </c>
    </row>
    <row r="192" spans="1:13">
      <c r="A192" s="100" t="str">
        <f>MID(Page012[[#This Row],[Column5]],SEARCH("(",Page012[[#This Row],[Column5]])+1,SEARCH(")",Page012[[#This Row],[Column5]])-SEARCH("(",Page012[[#This Row],[Column5]])-1)</f>
        <v>4.19</v>
      </c>
      <c r="B192" s="68" t="s">
        <v>424</v>
      </c>
      <c r="C192" s="68" t="s">
        <v>292</v>
      </c>
      <c r="D192" s="68" t="s">
        <v>293</v>
      </c>
      <c r="E192" s="68" t="s">
        <v>425</v>
      </c>
      <c r="F192" s="68" t="s">
        <v>426</v>
      </c>
      <c r="G192" s="68">
        <v>27.78</v>
      </c>
      <c r="H192" s="100" t="str">
        <f>MID(Page012[[#This Row],[Column4]],SEARCH("(",Page012[[#This Row],[Column4]])+1,SEARCH(")",Page012[[#This Row],[Column4]])-SEARCH("(",Page012[[#This Row],[Column4]])-1)</f>
        <v>273.0</v>
      </c>
      <c r="I192" s="68">
        <v>273</v>
      </c>
      <c r="J192" s="68">
        <f t="shared" si="9"/>
        <v>0</v>
      </c>
      <c r="K192" s="68">
        <f t="shared" si="8"/>
        <v>0</v>
      </c>
      <c r="L192" s="100">
        <f t="shared" si="10"/>
        <v>-0.42486133646629831</v>
      </c>
      <c r="M192" s="68">
        <f t="shared" si="11"/>
        <v>10</v>
      </c>
    </row>
    <row r="193" spans="1:13">
      <c r="A193" s="100" t="str">
        <f>MID(Page012[[#This Row],[Column5]],SEARCH("(",Page012[[#This Row],[Column5]])+1,SEARCH(")",Page012[[#This Row],[Column5]])-SEARCH("(",Page012[[#This Row],[Column5]])-1)</f>
        <v>4.78</v>
      </c>
      <c r="B193" s="68" t="s">
        <v>424</v>
      </c>
      <c r="C193" s="68" t="s">
        <v>292</v>
      </c>
      <c r="D193" s="68" t="s">
        <v>292</v>
      </c>
      <c r="E193" s="68" t="s">
        <v>425</v>
      </c>
      <c r="F193" s="68" t="s">
        <v>335</v>
      </c>
      <c r="G193" s="68">
        <v>31.62</v>
      </c>
      <c r="H193" s="100" t="str">
        <f>MID(Page012[[#This Row],[Column4]],SEARCH("(",Page012[[#This Row],[Column4]])+1,SEARCH(")",Page012[[#This Row],[Column4]])-SEARCH("(",Page012[[#This Row],[Column4]])-1)</f>
        <v>273.0</v>
      </c>
      <c r="I193" s="68">
        <v>273</v>
      </c>
      <c r="J193" s="68">
        <f t="shared" si="9"/>
        <v>0</v>
      </c>
      <c r="K193" s="68">
        <f t="shared" si="8"/>
        <v>0</v>
      </c>
      <c r="L193" s="100">
        <f t="shared" si="10"/>
        <v>-0.42486133646629831</v>
      </c>
      <c r="M193" s="68">
        <f t="shared" si="11"/>
        <v>10</v>
      </c>
    </row>
    <row r="194" spans="1:13">
      <c r="A194" s="100" t="str">
        <f>MID(Page012[[#This Row],[Column5]],SEARCH("(",Page012[[#This Row],[Column5]])+1,SEARCH(")",Page012[[#This Row],[Column5]])-SEARCH("(",Page012[[#This Row],[Column5]])-1)</f>
        <v>5.16</v>
      </c>
      <c r="B194" s="68" t="s">
        <v>424</v>
      </c>
      <c r="C194" s="68" t="s">
        <v>292</v>
      </c>
      <c r="D194" s="68" t="s">
        <v>292</v>
      </c>
      <c r="E194" s="68" t="s">
        <v>425</v>
      </c>
      <c r="F194" s="68" t="s">
        <v>373</v>
      </c>
      <c r="G194" s="68">
        <v>34.08</v>
      </c>
      <c r="H194" s="100" t="str">
        <f>MID(Page012[[#This Row],[Column4]],SEARCH("(",Page012[[#This Row],[Column4]])+1,SEARCH(")",Page012[[#This Row],[Column4]])-SEARCH("(",Page012[[#This Row],[Column4]])-1)</f>
        <v>273.0</v>
      </c>
      <c r="I194" s="68">
        <v>273</v>
      </c>
      <c r="J194" s="68">
        <f t="shared" si="9"/>
        <v>0</v>
      </c>
      <c r="K194" s="68">
        <f t="shared" ref="K194:K257" si="12">IF(IF(I194&gt;=$Q$3,I194,$Q$2+10)&lt;=$Q$2,A194,0)</f>
        <v>0</v>
      </c>
      <c r="L194" s="100">
        <f t="shared" si="10"/>
        <v>-0.42486133646629831</v>
      </c>
      <c r="M194" s="68">
        <f t="shared" si="11"/>
        <v>10</v>
      </c>
    </row>
    <row r="195" spans="1:13">
      <c r="A195" s="100" t="str">
        <f>MID(Page012[[#This Row],[Column5]],SEARCH("(",Page012[[#This Row],[Column5]])+1,SEARCH(")",Page012[[#This Row],[Column5]])-SEARCH("(",Page012[[#This Row],[Column5]])-1)</f>
        <v>5.56</v>
      </c>
      <c r="B195" s="68" t="s">
        <v>424</v>
      </c>
      <c r="C195" s="68" t="s">
        <v>292</v>
      </c>
      <c r="D195" s="68" t="s">
        <v>292</v>
      </c>
      <c r="E195" s="68" t="s">
        <v>425</v>
      </c>
      <c r="F195" s="68" t="s">
        <v>341</v>
      </c>
      <c r="G195" s="68">
        <v>36.67</v>
      </c>
      <c r="H195" s="100" t="str">
        <f>MID(Page012[[#This Row],[Column4]],SEARCH("(",Page012[[#This Row],[Column4]])+1,SEARCH(")",Page012[[#This Row],[Column4]])-SEARCH("(",Page012[[#This Row],[Column4]])-1)</f>
        <v>273.0</v>
      </c>
      <c r="I195" s="68">
        <v>273</v>
      </c>
      <c r="J195" s="68">
        <f t="shared" ref="J195:J258" si="13">IF(IF(I195&gt;=$Q$3,I195,$Q$2+10)&lt;=$Q$2,I195,0)</f>
        <v>0</v>
      </c>
      <c r="K195" s="68">
        <f t="shared" si="12"/>
        <v>0</v>
      </c>
      <c r="L195" s="100">
        <f t="shared" ref="L195:L258" si="14">K195-$Q$1</f>
        <v>-0.42486133646629831</v>
      </c>
      <c r="M195" s="68">
        <f t="shared" si="11"/>
        <v>10</v>
      </c>
    </row>
    <row r="196" spans="1:13">
      <c r="A196" s="100" t="str">
        <f>MID(Page012[[#This Row],[Column5]],SEARCH("(",Page012[[#This Row],[Column5]])+1,SEARCH(")",Page012[[#This Row],[Column5]])-SEARCH("(",Page012[[#This Row],[Column5]])-1)</f>
        <v>6.35</v>
      </c>
      <c r="B196" s="68" t="s">
        <v>424</v>
      </c>
      <c r="C196" s="68" t="s">
        <v>292</v>
      </c>
      <c r="D196" s="68" t="s">
        <v>413</v>
      </c>
      <c r="E196" s="68" t="s">
        <v>425</v>
      </c>
      <c r="F196" s="68" t="s">
        <v>348</v>
      </c>
      <c r="G196" s="68">
        <v>41.76</v>
      </c>
      <c r="H196" s="100" t="str">
        <f>MID(Page012[[#This Row],[Column4]],SEARCH("(",Page012[[#This Row],[Column4]])+1,SEARCH(")",Page012[[#This Row],[Column4]])-SEARCH("(",Page012[[#This Row],[Column4]])-1)</f>
        <v>273.0</v>
      </c>
      <c r="I196" s="68">
        <v>273</v>
      </c>
      <c r="J196" s="68">
        <f t="shared" si="13"/>
        <v>0</v>
      </c>
      <c r="K196" s="68">
        <f t="shared" si="12"/>
        <v>0</v>
      </c>
      <c r="L196" s="100">
        <f t="shared" si="14"/>
        <v>-0.42486133646629831</v>
      </c>
      <c r="M196" s="68">
        <f t="shared" ref="M196:M259" si="15">IF(L196&lt;0,10,L196)</f>
        <v>10</v>
      </c>
    </row>
    <row r="197" spans="1:13">
      <c r="A197" s="100" t="str">
        <f>MID(Page012[[#This Row],[Column5]],SEARCH("(",Page012[[#This Row],[Column5]])+1,SEARCH(")",Page012[[#This Row],[Column5]])-SEARCH("(",Page012[[#This Row],[Column5]])-1)</f>
        <v>7.09</v>
      </c>
      <c r="B197" s="68" t="s">
        <v>424</v>
      </c>
      <c r="C197" s="68" t="s">
        <v>292</v>
      </c>
      <c r="D197" s="68" t="s">
        <v>292</v>
      </c>
      <c r="E197" s="68" t="s">
        <v>425</v>
      </c>
      <c r="F197" s="68" t="s">
        <v>427</v>
      </c>
      <c r="G197" s="68">
        <v>46.49</v>
      </c>
      <c r="H197" s="100" t="str">
        <f>MID(Page012[[#This Row],[Column4]],SEARCH("(",Page012[[#This Row],[Column4]])+1,SEARCH(")",Page012[[#This Row],[Column4]])-SEARCH("(",Page012[[#This Row],[Column4]])-1)</f>
        <v>273.0</v>
      </c>
      <c r="I197" s="68">
        <v>273</v>
      </c>
      <c r="J197" s="68">
        <f t="shared" si="13"/>
        <v>0</v>
      </c>
      <c r="K197" s="68">
        <f t="shared" si="12"/>
        <v>0</v>
      </c>
      <c r="L197" s="100">
        <f t="shared" si="14"/>
        <v>-0.42486133646629831</v>
      </c>
      <c r="M197" s="68">
        <f t="shared" si="15"/>
        <v>10</v>
      </c>
    </row>
    <row r="198" spans="1:13">
      <c r="A198" s="100" t="str">
        <f>MID(Page012[[#This Row],[Column5]],SEARCH("(",Page012[[#This Row],[Column5]])+1,SEARCH(")",Page012[[#This Row],[Column5]])-SEARCH("(",Page012[[#This Row],[Column5]])-1)</f>
        <v>7.80</v>
      </c>
      <c r="B198" s="68" t="s">
        <v>424</v>
      </c>
      <c r="C198" s="68" t="s">
        <v>292</v>
      </c>
      <c r="D198" s="68" t="s">
        <v>297</v>
      </c>
      <c r="E198" s="68" t="s">
        <v>425</v>
      </c>
      <c r="F198" s="68" t="s">
        <v>428</v>
      </c>
      <c r="G198" s="68">
        <v>51.01</v>
      </c>
      <c r="H198" s="100" t="str">
        <f>MID(Page012[[#This Row],[Column4]],SEARCH("(",Page012[[#This Row],[Column4]])+1,SEARCH(")",Page012[[#This Row],[Column4]])-SEARCH("(",Page012[[#This Row],[Column4]])-1)</f>
        <v>273.0</v>
      </c>
      <c r="I198" s="68">
        <v>273</v>
      </c>
      <c r="J198" s="68">
        <f t="shared" si="13"/>
        <v>0</v>
      </c>
      <c r="K198" s="68">
        <f t="shared" si="12"/>
        <v>0</v>
      </c>
      <c r="L198" s="100">
        <f t="shared" si="14"/>
        <v>-0.42486133646629831</v>
      </c>
      <c r="M198" s="68">
        <f t="shared" si="15"/>
        <v>10</v>
      </c>
    </row>
    <row r="199" spans="1:13">
      <c r="A199" s="100" t="str">
        <f>MID(Page012[[#This Row],[Column5]],SEARCH("(",Page012[[#This Row],[Column5]])+1,SEARCH(")",Page012[[#This Row],[Column5]])-SEARCH("(",Page012[[#This Row],[Column5]])-1)</f>
        <v>8.74</v>
      </c>
      <c r="B199" s="68" t="s">
        <v>424</v>
      </c>
      <c r="C199" s="68" t="s">
        <v>292</v>
      </c>
      <c r="D199" s="68" t="s">
        <v>292</v>
      </c>
      <c r="E199" s="68" t="s">
        <v>425</v>
      </c>
      <c r="F199" s="68" t="s">
        <v>367</v>
      </c>
      <c r="G199" s="68">
        <v>56.96</v>
      </c>
      <c r="H199" s="100" t="str">
        <f>MID(Page012[[#This Row],[Column4]],SEARCH("(",Page012[[#This Row],[Column4]])+1,SEARCH(")",Page012[[#This Row],[Column4]])-SEARCH("(",Page012[[#This Row],[Column4]])-1)</f>
        <v>273.0</v>
      </c>
      <c r="I199" s="68">
        <v>273</v>
      </c>
      <c r="J199" s="68">
        <f t="shared" si="13"/>
        <v>0</v>
      </c>
      <c r="K199" s="68">
        <f t="shared" si="12"/>
        <v>0</v>
      </c>
      <c r="L199" s="100">
        <f t="shared" si="14"/>
        <v>-0.42486133646629831</v>
      </c>
      <c r="M199" s="68">
        <f t="shared" si="15"/>
        <v>10</v>
      </c>
    </row>
    <row r="200" spans="1:13">
      <c r="A200" s="100" t="str">
        <f>MID(Page012[[#This Row],[Column5]],SEARCH("(",Page012[[#This Row],[Column5]])+1,SEARCH(")",Page012[[#This Row],[Column5]])-SEARCH("(",Page012[[#This Row],[Column5]])-1)</f>
        <v>9.27</v>
      </c>
      <c r="B200" s="68" t="s">
        <v>424</v>
      </c>
      <c r="C200" s="68" t="s">
        <v>300</v>
      </c>
      <c r="D200" s="68" t="s">
        <v>301</v>
      </c>
      <c r="E200" s="68" t="s">
        <v>425</v>
      </c>
      <c r="F200" s="68" t="s">
        <v>429</v>
      </c>
      <c r="G200" s="68">
        <v>60.29</v>
      </c>
      <c r="H200" s="100" t="str">
        <f>MID(Page012[[#This Row],[Column4]],SEARCH("(",Page012[[#This Row],[Column4]])+1,SEARCH(")",Page012[[#This Row],[Column4]])-SEARCH("(",Page012[[#This Row],[Column4]])-1)</f>
        <v>273.0</v>
      </c>
      <c r="I200" s="68">
        <v>273</v>
      </c>
      <c r="J200" s="68">
        <f t="shared" si="13"/>
        <v>0</v>
      </c>
      <c r="K200" s="68">
        <f t="shared" si="12"/>
        <v>0</v>
      </c>
      <c r="L200" s="100">
        <f t="shared" si="14"/>
        <v>-0.42486133646629831</v>
      </c>
      <c r="M200" s="68">
        <f t="shared" si="15"/>
        <v>10</v>
      </c>
    </row>
    <row r="201" spans="1:13">
      <c r="A201" s="100" t="str">
        <f>MID(Page012[[#This Row],[Column5]],SEARCH("(",Page012[[#This Row],[Column5]])+1,SEARCH(")",Page012[[#This Row],[Column5]])-SEARCH("(",Page012[[#This Row],[Column5]])-1)</f>
        <v>11.13</v>
      </c>
      <c r="B201" s="68" t="s">
        <v>424</v>
      </c>
      <c r="C201" s="68" t="s">
        <v>292</v>
      </c>
      <c r="D201" s="68" t="s">
        <v>292</v>
      </c>
      <c r="E201" s="68" t="s">
        <v>425</v>
      </c>
      <c r="F201" s="68" t="s">
        <v>381</v>
      </c>
      <c r="G201" s="68">
        <v>71.88</v>
      </c>
      <c r="H201" s="100" t="str">
        <f>MID(Page012[[#This Row],[Column4]],SEARCH("(",Page012[[#This Row],[Column4]])+1,SEARCH(")",Page012[[#This Row],[Column4]])-SEARCH("(",Page012[[#This Row],[Column4]])-1)</f>
        <v>273.0</v>
      </c>
      <c r="I201" s="68">
        <v>273</v>
      </c>
      <c r="J201" s="68">
        <f t="shared" si="13"/>
        <v>0</v>
      </c>
      <c r="K201" s="68">
        <f t="shared" si="12"/>
        <v>0</v>
      </c>
      <c r="L201" s="100">
        <f t="shared" si="14"/>
        <v>-0.42486133646629831</v>
      </c>
      <c r="M201" s="68">
        <f t="shared" si="15"/>
        <v>10</v>
      </c>
    </row>
    <row r="202" spans="1:13">
      <c r="A202" s="100" t="str">
        <f>MID(Page012[[#This Row],[Column5]],SEARCH("(",Page012[[#This Row],[Column5]])+1,SEARCH(")",Page012[[#This Row],[Column5]])-SEARCH("(",Page012[[#This Row],[Column5]])-1)</f>
        <v>12.70</v>
      </c>
      <c r="B202" s="68" t="s">
        <v>424</v>
      </c>
      <c r="C202" s="68" t="s">
        <v>303</v>
      </c>
      <c r="D202" s="68" t="s">
        <v>416</v>
      </c>
      <c r="E202" s="68" t="s">
        <v>425</v>
      </c>
      <c r="F202" s="68" t="s">
        <v>399</v>
      </c>
      <c r="G202" s="68">
        <v>81.53</v>
      </c>
      <c r="H202" s="100" t="str">
        <f>MID(Page012[[#This Row],[Column4]],SEARCH("(",Page012[[#This Row],[Column4]])+1,SEARCH(")",Page012[[#This Row],[Column4]])-SEARCH("(",Page012[[#This Row],[Column4]])-1)</f>
        <v>273.0</v>
      </c>
      <c r="I202" s="68">
        <v>273</v>
      </c>
      <c r="J202" s="68">
        <f t="shared" si="13"/>
        <v>0</v>
      </c>
      <c r="K202" s="68">
        <f t="shared" si="12"/>
        <v>0</v>
      </c>
      <c r="L202" s="100">
        <f t="shared" si="14"/>
        <v>-0.42486133646629831</v>
      </c>
      <c r="M202" s="68">
        <f t="shared" si="15"/>
        <v>10</v>
      </c>
    </row>
    <row r="203" spans="1:13">
      <c r="A203" s="100" t="str">
        <f>MID(Page012[[#This Row],[Column5]],SEARCH("(",Page012[[#This Row],[Column5]])+1,SEARCH(")",Page012[[#This Row],[Column5]])-SEARCH("(",Page012[[#This Row],[Column5]])-1)</f>
        <v>14.27</v>
      </c>
      <c r="B203" s="68" t="s">
        <v>424</v>
      </c>
      <c r="C203" s="68" t="s">
        <v>292</v>
      </c>
      <c r="D203" s="68" t="s">
        <v>292</v>
      </c>
      <c r="E203" s="68" t="s">
        <v>425</v>
      </c>
      <c r="F203" s="68" t="s">
        <v>406</v>
      </c>
      <c r="G203" s="68">
        <v>91.05</v>
      </c>
      <c r="H203" s="100" t="str">
        <f>MID(Page012[[#This Row],[Column4]],SEARCH("(",Page012[[#This Row],[Column4]])+1,SEARCH(")",Page012[[#This Row],[Column4]])-SEARCH("(",Page012[[#This Row],[Column4]])-1)</f>
        <v>273.0</v>
      </c>
      <c r="I203" s="68">
        <v>273</v>
      </c>
      <c r="J203" s="68">
        <f t="shared" si="13"/>
        <v>0</v>
      </c>
      <c r="K203" s="68">
        <f t="shared" si="12"/>
        <v>0</v>
      </c>
      <c r="L203" s="100">
        <f t="shared" si="14"/>
        <v>-0.42486133646629831</v>
      </c>
      <c r="M203" s="68">
        <f t="shared" si="15"/>
        <v>10</v>
      </c>
    </row>
    <row r="204" spans="1:13">
      <c r="A204" s="100" t="str">
        <f>MID(Page012[[#This Row],[Column5]],SEARCH("(",Page012[[#This Row],[Column5]])+1,SEARCH(")",Page012[[#This Row],[Column5]])-SEARCH("(",Page012[[#This Row],[Column5]])-1)</f>
        <v>15.09</v>
      </c>
      <c r="B204" s="68" t="s">
        <v>424</v>
      </c>
      <c r="C204" s="68" t="s">
        <v>292</v>
      </c>
      <c r="D204" s="68" t="s">
        <v>304</v>
      </c>
      <c r="E204" s="68" t="s">
        <v>425</v>
      </c>
      <c r="F204" s="68" t="s">
        <v>419</v>
      </c>
      <c r="G204" s="68">
        <v>95.38</v>
      </c>
      <c r="H204" s="100" t="str">
        <f>MID(Page012[[#This Row],[Column4]],SEARCH("(",Page012[[#This Row],[Column4]])+1,SEARCH(")",Page012[[#This Row],[Column4]])-SEARCH("(",Page012[[#This Row],[Column4]])-1)</f>
        <v>273.0</v>
      </c>
      <c r="I204" s="68">
        <v>273</v>
      </c>
      <c r="J204" s="68">
        <f t="shared" si="13"/>
        <v>0</v>
      </c>
      <c r="K204" s="68">
        <f t="shared" si="12"/>
        <v>0</v>
      </c>
      <c r="L204" s="100">
        <f t="shared" si="14"/>
        <v>-0.42486133646629831</v>
      </c>
      <c r="M204" s="68">
        <f t="shared" si="15"/>
        <v>10</v>
      </c>
    </row>
    <row r="205" spans="1:13">
      <c r="A205" s="100" t="str">
        <f>MID(Page012[[#This Row],[Column5]],SEARCH("(",Page012[[#This Row],[Column5]])+1,SEARCH(")",Page012[[#This Row],[Column5]])-SEARCH("(",Page012[[#This Row],[Column5]])-1)</f>
        <v>15.88</v>
      </c>
      <c r="B205" s="68" t="s">
        <v>424</v>
      </c>
      <c r="C205" s="68" t="s">
        <v>292</v>
      </c>
      <c r="D205" s="68" t="s">
        <v>292</v>
      </c>
      <c r="E205" s="68" t="s">
        <v>425</v>
      </c>
      <c r="F205" s="68" t="s">
        <v>400</v>
      </c>
      <c r="G205" s="68">
        <v>100.69</v>
      </c>
      <c r="H205" s="100" t="str">
        <f>MID(Page012[[#This Row],[Column4]],SEARCH("(",Page012[[#This Row],[Column4]])+1,SEARCH(")",Page012[[#This Row],[Column4]])-SEARCH("(",Page012[[#This Row],[Column4]])-1)</f>
        <v>273.0</v>
      </c>
      <c r="I205" s="68">
        <v>273</v>
      </c>
      <c r="J205" s="68">
        <f t="shared" si="13"/>
        <v>0</v>
      </c>
      <c r="K205" s="68">
        <f t="shared" si="12"/>
        <v>0</v>
      </c>
      <c r="L205" s="100">
        <f t="shared" si="14"/>
        <v>-0.42486133646629831</v>
      </c>
      <c r="M205" s="68">
        <f t="shared" si="15"/>
        <v>10</v>
      </c>
    </row>
    <row r="206" spans="1:13">
      <c r="A206" s="100" t="str">
        <f>MID(Page012[[#This Row],[Column5]],SEARCH("(",Page012[[#This Row],[Column5]])+1,SEARCH(")",Page012[[#This Row],[Column5]])-SEARCH("(",Page012[[#This Row],[Column5]])-1)</f>
        <v>18.26</v>
      </c>
      <c r="B206" s="68" t="s">
        <v>424</v>
      </c>
      <c r="C206" s="68" t="s">
        <v>292</v>
      </c>
      <c r="D206" s="68" t="s">
        <v>418</v>
      </c>
      <c r="E206" s="68" t="s">
        <v>425</v>
      </c>
      <c r="F206" s="68" t="s">
        <v>407</v>
      </c>
      <c r="G206" s="68">
        <v>114.71</v>
      </c>
      <c r="H206" s="100" t="str">
        <f>MID(Page012[[#This Row],[Column4]],SEARCH("(",Page012[[#This Row],[Column4]])+1,SEARCH(")",Page012[[#This Row],[Column4]])-SEARCH("(",Page012[[#This Row],[Column4]])-1)</f>
        <v>273.0</v>
      </c>
      <c r="I206" s="68">
        <v>273</v>
      </c>
      <c r="J206" s="68">
        <f t="shared" si="13"/>
        <v>0</v>
      </c>
      <c r="K206" s="68">
        <f t="shared" si="12"/>
        <v>0</v>
      </c>
      <c r="L206" s="100">
        <f t="shared" si="14"/>
        <v>-0.42486133646629831</v>
      </c>
      <c r="M206" s="68">
        <f t="shared" si="15"/>
        <v>10</v>
      </c>
    </row>
    <row r="207" spans="1:13">
      <c r="A207" s="100" t="str">
        <f>MID(Page012[[#This Row],[Column5]],SEARCH("(",Page012[[#This Row],[Column5]])+1,SEARCH(")",Page012[[#This Row],[Column5]])-SEARCH("(",Page012[[#This Row],[Column5]])-1)</f>
        <v>20.62</v>
      </c>
      <c r="B207" s="68" t="s">
        <v>424</v>
      </c>
      <c r="C207" s="68" t="s">
        <v>292</v>
      </c>
      <c r="D207" s="68" t="s">
        <v>292</v>
      </c>
      <c r="E207" s="68" t="s">
        <v>425</v>
      </c>
      <c r="F207" s="68" t="s">
        <v>421</v>
      </c>
      <c r="G207" s="68">
        <v>128.34</v>
      </c>
      <c r="H207" s="100" t="str">
        <f>MID(Page012[[#This Row],[Column4]],SEARCH("(",Page012[[#This Row],[Column4]])+1,SEARCH(")",Page012[[#This Row],[Column4]])-SEARCH("(",Page012[[#This Row],[Column4]])-1)</f>
        <v>273.0</v>
      </c>
      <c r="I207" s="68">
        <v>273</v>
      </c>
      <c r="J207" s="68">
        <f t="shared" si="13"/>
        <v>0</v>
      </c>
      <c r="K207" s="68">
        <f t="shared" si="12"/>
        <v>0</v>
      </c>
      <c r="L207" s="100">
        <f t="shared" si="14"/>
        <v>-0.42486133646629831</v>
      </c>
      <c r="M207" s="68">
        <f t="shared" si="15"/>
        <v>10</v>
      </c>
    </row>
    <row r="208" spans="1:13">
      <c r="A208" s="100" t="str">
        <f>MID(Page012[[#This Row],[Column5]],SEARCH("(",Page012[[#This Row],[Column5]])+1,SEARCH(")",Page012[[#This Row],[Column5]])-SEARCH("(",Page012[[#This Row],[Column5]])-1)</f>
        <v>21.44</v>
      </c>
      <c r="B208" s="68" t="s">
        <v>424</v>
      </c>
      <c r="C208" s="68" t="s">
        <v>292</v>
      </c>
      <c r="D208" s="68" t="s">
        <v>392</v>
      </c>
      <c r="E208" s="68" t="s">
        <v>425</v>
      </c>
      <c r="F208" s="68" t="s">
        <v>430</v>
      </c>
      <c r="G208" s="68">
        <v>133.01</v>
      </c>
      <c r="H208" s="100" t="str">
        <f>MID(Page012[[#This Row],[Column4]],SEARCH("(",Page012[[#This Row],[Column4]])+1,SEARCH(")",Page012[[#This Row],[Column4]])-SEARCH("(",Page012[[#This Row],[Column4]])-1)</f>
        <v>273.0</v>
      </c>
      <c r="I208" s="68">
        <v>273</v>
      </c>
      <c r="J208" s="68">
        <f t="shared" si="13"/>
        <v>0</v>
      </c>
      <c r="K208" s="68">
        <f t="shared" si="12"/>
        <v>0</v>
      </c>
      <c r="L208" s="100">
        <f t="shared" si="14"/>
        <v>-0.42486133646629831</v>
      </c>
      <c r="M208" s="68">
        <f t="shared" si="15"/>
        <v>10</v>
      </c>
    </row>
    <row r="209" spans="1:13">
      <c r="A209" s="100" t="str">
        <f>MID(Page012[[#This Row],[Column5]],SEARCH("(",Page012[[#This Row],[Column5]])+1,SEARCH(")",Page012[[#This Row],[Column5]])-SEARCH("(",Page012[[#This Row],[Column5]])-1)</f>
        <v>22.23</v>
      </c>
      <c r="B209" s="68" t="s">
        <v>424</v>
      </c>
      <c r="C209" s="68" t="s">
        <v>292</v>
      </c>
      <c r="D209" s="68" t="s">
        <v>292</v>
      </c>
      <c r="E209" s="68" t="s">
        <v>425</v>
      </c>
      <c r="F209" s="68" t="s">
        <v>409</v>
      </c>
      <c r="G209" s="68">
        <v>137.47999999999999</v>
      </c>
      <c r="H209" s="100" t="str">
        <f>MID(Page012[[#This Row],[Column4]],SEARCH("(",Page012[[#This Row],[Column4]])+1,SEARCH(")",Page012[[#This Row],[Column4]])-SEARCH("(",Page012[[#This Row],[Column4]])-1)</f>
        <v>273.0</v>
      </c>
      <c r="I209" s="68">
        <v>273</v>
      </c>
      <c r="J209" s="68">
        <f t="shared" si="13"/>
        <v>0</v>
      </c>
      <c r="K209" s="68">
        <f t="shared" si="12"/>
        <v>0</v>
      </c>
      <c r="L209" s="100">
        <f t="shared" si="14"/>
        <v>-0.42486133646629831</v>
      </c>
      <c r="M209" s="68">
        <f t="shared" si="15"/>
        <v>10</v>
      </c>
    </row>
    <row r="210" spans="1:13">
      <c r="A210" s="100" t="str">
        <f>MID(Page012[[#This Row],[Column5]],SEARCH("(",Page012[[#This Row],[Column5]])+1,SEARCH(")",Page012[[#This Row],[Column5]])-SEARCH("(",Page012[[#This Row],[Column5]])-1)</f>
        <v>23.83</v>
      </c>
      <c r="B210" s="68" t="s">
        <v>424</v>
      </c>
      <c r="C210" s="68" t="s">
        <v>292</v>
      </c>
      <c r="D210" s="68" t="s">
        <v>292</v>
      </c>
      <c r="E210" s="68" t="s">
        <v>425</v>
      </c>
      <c r="F210" s="68" t="s">
        <v>431</v>
      </c>
      <c r="G210" s="68">
        <v>146.43</v>
      </c>
      <c r="H210" s="100" t="str">
        <f>MID(Page012[[#This Row],[Column4]],SEARCH("(",Page012[[#This Row],[Column4]])+1,SEARCH(")",Page012[[#This Row],[Column4]])-SEARCH("(",Page012[[#This Row],[Column4]])-1)</f>
        <v>273.0</v>
      </c>
      <c r="I210" s="68">
        <v>273</v>
      </c>
      <c r="J210" s="68">
        <f t="shared" si="13"/>
        <v>0</v>
      </c>
      <c r="K210" s="68">
        <f t="shared" si="12"/>
        <v>0</v>
      </c>
      <c r="L210" s="100">
        <f t="shared" si="14"/>
        <v>-0.42486133646629831</v>
      </c>
      <c r="M210" s="68">
        <f t="shared" si="15"/>
        <v>10</v>
      </c>
    </row>
    <row r="211" spans="1:13">
      <c r="A211" s="100" t="str">
        <f>MID(Page012[[#This Row],[Column5]],SEARCH("(",Page012[[#This Row],[Column5]])+1,SEARCH(")",Page012[[#This Row],[Column5]])-SEARCH("(",Page012[[#This Row],[Column5]])-1)</f>
        <v>25.40</v>
      </c>
      <c r="B211" s="68" t="s">
        <v>424</v>
      </c>
      <c r="C211" s="68" t="s">
        <v>308</v>
      </c>
      <c r="D211" s="68" t="s">
        <v>420</v>
      </c>
      <c r="E211" s="68" t="s">
        <v>425</v>
      </c>
      <c r="F211" s="68" t="s">
        <v>423</v>
      </c>
      <c r="G211" s="68">
        <v>104.23</v>
      </c>
      <c r="H211" s="100" t="str">
        <f>MID(Page012[[#This Row],[Column4]],SEARCH("(",Page012[[#This Row],[Column4]])+1,SEARCH(")",Page012[[#This Row],[Column4]])-SEARCH("(",Page012[[#This Row],[Column4]])-1)</f>
        <v>273.0</v>
      </c>
      <c r="I211" s="68">
        <v>273</v>
      </c>
      <c r="J211" s="68">
        <f t="shared" si="13"/>
        <v>0</v>
      </c>
      <c r="K211" s="68">
        <f t="shared" si="12"/>
        <v>0</v>
      </c>
      <c r="L211" s="100">
        <f t="shared" si="14"/>
        <v>-0.42486133646629831</v>
      </c>
      <c r="M211" s="68">
        <f t="shared" si="15"/>
        <v>10</v>
      </c>
    </row>
    <row r="212" spans="1:13">
      <c r="A212" s="100" t="str">
        <f>MID(Page012[[#This Row],[Column5]],SEARCH("(",Page012[[#This Row],[Column5]])+1,SEARCH(")",Page012[[#This Row],[Column5]])-SEARCH("(",Page012[[#This Row],[Column5]])-1)</f>
        <v>28.58</v>
      </c>
      <c r="B212" s="68" t="s">
        <v>424</v>
      </c>
      <c r="C212" s="68" t="s">
        <v>292</v>
      </c>
      <c r="D212" s="68" t="s">
        <v>306</v>
      </c>
      <c r="E212" s="68" t="s">
        <v>425</v>
      </c>
      <c r="F212" s="68" t="s">
        <v>432</v>
      </c>
      <c r="G212" s="68">
        <v>172.27</v>
      </c>
      <c r="H212" s="100" t="str">
        <f>MID(Page012[[#This Row],[Column4]],SEARCH("(",Page012[[#This Row],[Column4]])+1,SEARCH(")",Page012[[#This Row],[Column4]])-SEARCH("(",Page012[[#This Row],[Column4]])-1)</f>
        <v>273.0</v>
      </c>
      <c r="I212" s="68">
        <v>273</v>
      </c>
      <c r="J212" s="68">
        <f t="shared" si="13"/>
        <v>0</v>
      </c>
      <c r="K212" s="68">
        <f t="shared" si="12"/>
        <v>0</v>
      </c>
      <c r="L212" s="100">
        <f t="shared" si="14"/>
        <v>-0.42486133646629831</v>
      </c>
      <c r="M212" s="68">
        <f t="shared" si="15"/>
        <v>10</v>
      </c>
    </row>
    <row r="213" spans="1:13">
      <c r="A213" s="100" t="str">
        <f>MID(Page012[[#This Row],[Column5]],SEARCH("(",Page012[[#This Row],[Column5]])+1,SEARCH(")",Page012[[#This Row],[Column5]])-SEARCH("(",Page012[[#This Row],[Column5]])-1)</f>
        <v>31.75</v>
      </c>
      <c r="B213" s="68" t="s">
        <v>424</v>
      </c>
      <c r="C213" s="68" t="s">
        <v>292</v>
      </c>
      <c r="D213" s="68" t="s">
        <v>292</v>
      </c>
      <c r="E213" s="68" t="s">
        <v>425</v>
      </c>
      <c r="F213" s="68" t="s">
        <v>433</v>
      </c>
      <c r="G213" s="68">
        <v>188.9</v>
      </c>
      <c r="H213" s="100" t="str">
        <f>MID(Page012[[#This Row],[Column4]],SEARCH("(",Page012[[#This Row],[Column4]])+1,SEARCH(")",Page012[[#This Row],[Column4]])-SEARCH("(",Page012[[#This Row],[Column4]])-1)</f>
        <v>273.0</v>
      </c>
      <c r="I213" s="68">
        <v>273</v>
      </c>
      <c r="J213" s="68">
        <f t="shared" si="13"/>
        <v>0</v>
      </c>
      <c r="K213" s="68">
        <f t="shared" si="12"/>
        <v>0</v>
      </c>
      <c r="L213" s="100">
        <f t="shared" si="14"/>
        <v>-0.42486133646629831</v>
      </c>
      <c r="M213" s="68">
        <f t="shared" si="15"/>
        <v>10</v>
      </c>
    </row>
    <row r="214" spans="1:13">
      <c r="A214" s="100" t="str">
        <f>MID(Page012[[#This Row],[Column5]],SEARCH("(",Page012[[#This Row],[Column5]])+1,SEARCH(")",Page012[[#This Row],[Column5]])-SEARCH("(",Page012[[#This Row],[Column5]])-1)</f>
        <v>3.96</v>
      </c>
      <c r="B214" s="68" t="s">
        <v>434</v>
      </c>
      <c r="C214" s="68" t="s">
        <v>292</v>
      </c>
      <c r="D214" s="68" t="s">
        <v>330</v>
      </c>
      <c r="E214" s="68" t="s">
        <v>435</v>
      </c>
      <c r="F214" s="68" t="s">
        <v>372</v>
      </c>
      <c r="G214" s="68">
        <v>31.24</v>
      </c>
      <c r="H214" s="100" t="str">
        <f>MID(Page012[[#This Row],[Column4]],SEARCH("(",Page012[[#This Row],[Column4]])+1,SEARCH(")",Page012[[#This Row],[Column4]])-SEARCH("(",Page012[[#This Row],[Column4]])-1)</f>
        <v>323.8</v>
      </c>
      <c r="I214" s="68">
        <v>323.8</v>
      </c>
      <c r="J214" s="68">
        <f t="shared" si="13"/>
        <v>0</v>
      </c>
      <c r="K214" s="68">
        <f t="shared" si="12"/>
        <v>0</v>
      </c>
      <c r="L214" s="100">
        <f t="shared" si="14"/>
        <v>-0.42486133646629831</v>
      </c>
      <c r="M214" s="68">
        <f t="shared" si="15"/>
        <v>10</v>
      </c>
    </row>
    <row r="215" spans="1:13">
      <c r="A215" s="100" t="str">
        <f>MID(Page012[[#This Row],[Column5]],SEARCH("(",Page012[[#This Row],[Column5]])+1,SEARCH(")",Page012[[#This Row],[Column5]])-SEARCH("(",Page012[[#This Row],[Column5]])-1)</f>
        <v>4.37</v>
      </c>
      <c r="B215" s="68" t="s">
        <v>434</v>
      </c>
      <c r="C215" s="68" t="s">
        <v>292</v>
      </c>
      <c r="D215" s="68" t="s">
        <v>292</v>
      </c>
      <c r="E215" s="68" t="s">
        <v>435</v>
      </c>
      <c r="F215" s="68" t="s">
        <v>365</v>
      </c>
      <c r="G215" s="68">
        <v>34.43</v>
      </c>
      <c r="H215" s="100" t="str">
        <f>MID(Page012[[#This Row],[Column4]],SEARCH("(",Page012[[#This Row],[Column4]])+1,SEARCH(")",Page012[[#This Row],[Column4]])-SEARCH("(",Page012[[#This Row],[Column4]])-1)</f>
        <v>323.8</v>
      </c>
      <c r="I215" s="68">
        <v>323.8</v>
      </c>
      <c r="J215" s="68">
        <f t="shared" si="13"/>
        <v>0</v>
      </c>
      <c r="K215" s="68">
        <f t="shared" si="12"/>
        <v>0</v>
      </c>
      <c r="L215" s="100">
        <f t="shared" si="14"/>
        <v>-0.42486133646629831</v>
      </c>
      <c r="M215" s="68">
        <f t="shared" si="15"/>
        <v>10</v>
      </c>
    </row>
    <row r="216" spans="1:13">
      <c r="A216" s="100" t="str">
        <f>MID(Page012[[#This Row],[Column5]],SEARCH("(",Page012[[#This Row],[Column5]])+1,SEARCH(")",Page012[[#This Row],[Column5]])-SEARCH("(",Page012[[#This Row],[Column5]])-1)</f>
        <v>4.57</v>
      </c>
      <c r="B216" s="68" t="s">
        <v>434</v>
      </c>
      <c r="C216" s="68" t="s">
        <v>292</v>
      </c>
      <c r="D216" s="68" t="s">
        <v>293</v>
      </c>
      <c r="E216" s="68" t="s">
        <v>435</v>
      </c>
      <c r="F216" s="68" t="s">
        <v>436</v>
      </c>
      <c r="G216" s="68">
        <v>35.979999999999997</v>
      </c>
      <c r="H216" s="100" t="str">
        <f>MID(Page012[[#This Row],[Column4]],SEARCH("(",Page012[[#This Row],[Column4]])+1,SEARCH(")",Page012[[#This Row],[Column4]])-SEARCH("(",Page012[[#This Row],[Column4]])-1)</f>
        <v>323.8</v>
      </c>
      <c r="I216" s="68">
        <v>323.8</v>
      </c>
      <c r="J216" s="68">
        <f t="shared" si="13"/>
        <v>0</v>
      </c>
      <c r="K216" s="68">
        <f t="shared" si="12"/>
        <v>0</v>
      </c>
      <c r="L216" s="100">
        <f t="shared" si="14"/>
        <v>-0.42486133646629831</v>
      </c>
      <c r="M216" s="68">
        <f t="shared" si="15"/>
        <v>10</v>
      </c>
    </row>
    <row r="217" spans="1:13">
      <c r="A217" s="100" t="str">
        <f>MID(Page012[[#This Row],[Column5]],SEARCH("(",Page012[[#This Row],[Column5]])+1,SEARCH(")",Page012[[#This Row],[Column5]])-SEARCH("(",Page012[[#This Row],[Column5]])-1)</f>
        <v>4.78</v>
      </c>
      <c r="B217" s="68" t="s">
        <v>434</v>
      </c>
      <c r="C217" s="68" t="s">
        <v>292</v>
      </c>
      <c r="D217" s="68" t="s">
        <v>292</v>
      </c>
      <c r="E217" s="68" t="s">
        <v>435</v>
      </c>
      <c r="F217" s="68" t="s">
        <v>335</v>
      </c>
      <c r="G217" s="68">
        <v>37.61</v>
      </c>
      <c r="H217" s="100" t="str">
        <f>MID(Page012[[#This Row],[Column4]],SEARCH("(",Page012[[#This Row],[Column4]])+1,SEARCH(")",Page012[[#This Row],[Column4]])-SEARCH("(",Page012[[#This Row],[Column4]])-1)</f>
        <v>323.8</v>
      </c>
      <c r="I217" s="68">
        <v>323.8</v>
      </c>
      <c r="J217" s="68">
        <f t="shared" si="13"/>
        <v>0</v>
      </c>
      <c r="K217" s="68">
        <f t="shared" si="12"/>
        <v>0</v>
      </c>
      <c r="L217" s="100">
        <f t="shared" si="14"/>
        <v>-0.42486133646629831</v>
      </c>
      <c r="M217" s="68">
        <f t="shared" si="15"/>
        <v>10</v>
      </c>
    </row>
    <row r="218" spans="1:13">
      <c r="A218" s="100" t="str">
        <f>MID(Page012[[#This Row],[Column5]],SEARCH("(",Page012[[#This Row],[Column5]])+1,SEARCH(")",Page012[[#This Row],[Column5]])-SEARCH("(",Page012[[#This Row],[Column5]])-1)</f>
        <v>5.16</v>
      </c>
      <c r="B218" s="68" t="s">
        <v>434</v>
      </c>
      <c r="C218" s="68" t="s">
        <v>292</v>
      </c>
      <c r="D218" s="68" t="s">
        <v>292</v>
      </c>
      <c r="E218" s="68" t="s">
        <v>435</v>
      </c>
      <c r="F218" s="68" t="s">
        <v>373</v>
      </c>
      <c r="G218" s="68">
        <v>40.549999999999997</v>
      </c>
      <c r="H218" s="100" t="str">
        <f>MID(Page012[[#This Row],[Column4]],SEARCH("(",Page012[[#This Row],[Column4]])+1,SEARCH(")",Page012[[#This Row],[Column4]])-SEARCH("(",Page012[[#This Row],[Column4]])-1)</f>
        <v>323.8</v>
      </c>
      <c r="I218" s="68">
        <v>323.8</v>
      </c>
      <c r="J218" s="68">
        <f t="shared" si="13"/>
        <v>0</v>
      </c>
      <c r="K218" s="68">
        <f t="shared" si="12"/>
        <v>0</v>
      </c>
      <c r="L218" s="100">
        <f t="shared" si="14"/>
        <v>-0.42486133646629831</v>
      </c>
      <c r="M218" s="68">
        <f t="shared" si="15"/>
        <v>10</v>
      </c>
    </row>
    <row r="219" spans="1:13">
      <c r="A219" s="100" t="str">
        <f>MID(Page012[[#This Row],[Column5]],SEARCH("(",Page012[[#This Row],[Column5]])+1,SEARCH(")",Page012[[#This Row],[Column5]])-SEARCH("(",Page012[[#This Row],[Column5]])-1)</f>
        <v>5.56</v>
      </c>
      <c r="B219" s="68" t="s">
        <v>434</v>
      </c>
      <c r="C219" s="68" t="s">
        <v>292</v>
      </c>
      <c r="D219" s="68" t="s">
        <v>292</v>
      </c>
      <c r="E219" s="68" t="s">
        <v>435</v>
      </c>
      <c r="F219" s="68" t="s">
        <v>341</v>
      </c>
      <c r="G219" s="68">
        <v>43.64</v>
      </c>
      <c r="H219" s="100" t="str">
        <f>MID(Page012[[#This Row],[Column4]],SEARCH("(",Page012[[#This Row],[Column4]])+1,SEARCH(")",Page012[[#This Row],[Column4]])-SEARCH("(",Page012[[#This Row],[Column4]])-1)</f>
        <v>323.8</v>
      </c>
      <c r="I219" s="68">
        <v>323.8</v>
      </c>
      <c r="J219" s="68">
        <f t="shared" si="13"/>
        <v>0</v>
      </c>
      <c r="K219" s="68">
        <f t="shared" si="12"/>
        <v>0</v>
      </c>
      <c r="L219" s="100">
        <f t="shared" si="14"/>
        <v>-0.42486133646629831</v>
      </c>
      <c r="M219" s="68">
        <f t="shared" si="15"/>
        <v>10</v>
      </c>
    </row>
    <row r="220" spans="1:13">
      <c r="A220" s="100" t="str">
        <f>MID(Page012[[#This Row],[Column5]],SEARCH("(",Page012[[#This Row],[Column5]])+1,SEARCH(")",Page012[[#This Row],[Column5]])-SEARCH("(",Page012[[#This Row],[Column5]])-1)</f>
        <v>6.35</v>
      </c>
      <c r="B220" s="68" t="s">
        <v>434</v>
      </c>
      <c r="C220" s="68" t="s">
        <v>292</v>
      </c>
      <c r="D220" s="68" t="s">
        <v>413</v>
      </c>
      <c r="E220" s="68" t="s">
        <v>435</v>
      </c>
      <c r="F220" s="68" t="s">
        <v>348</v>
      </c>
      <c r="G220" s="68">
        <v>49.71</v>
      </c>
      <c r="H220" s="100" t="str">
        <f>MID(Page012[[#This Row],[Column4]],SEARCH("(",Page012[[#This Row],[Column4]])+1,SEARCH(")",Page012[[#This Row],[Column4]])-SEARCH("(",Page012[[#This Row],[Column4]])-1)</f>
        <v>323.8</v>
      </c>
      <c r="I220" s="68">
        <v>323.8</v>
      </c>
      <c r="J220" s="68">
        <f t="shared" si="13"/>
        <v>0</v>
      </c>
      <c r="K220" s="68">
        <f t="shared" si="12"/>
        <v>0</v>
      </c>
      <c r="L220" s="100">
        <f t="shared" si="14"/>
        <v>-0.42486133646629831</v>
      </c>
      <c r="M220" s="68">
        <f t="shared" si="15"/>
        <v>10</v>
      </c>
    </row>
    <row r="221" spans="1:13">
      <c r="A221" s="100" t="str">
        <f>MID(Page012[[#This Row],[Column5]],SEARCH("(",Page012[[#This Row],[Column5]])+1,SEARCH(")",Page012[[#This Row],[Column5]])-SEARCH("(",Page012[[#This Row],[Column5]])-1)</f>
        <v>7.14</v>
      </c>
      <c r="B221" s="68" t="s">
        <v>434</v>
      </c>
      <c r="C221" s="68" t="s">
        <v>292</v>
      </c>
      <c r="D221" s="68" t="s">
        <v>292</v>
      </c>
      <c r="E221" s="68" t="s">
        <v>435</v>
      </c>
      <c r="F221" s="68" t="s">
        <v>360</v>
      </c>
      <c r="G221" s="68">
        <v>55.76</v>
      </c>
      <c r="H221" s="100" t="str">
        <f>MID(Page012[[#This Row],[Column4]],SEARCH("(",Page012[[#This Row],[Column4]])+1,SEARCH(")",Page012[[#This Row],[Column4]])-SEARCH("(",Page012[[#This Row],[Column4]])-1)</f>
        <v>323.8</v>
      </c>
      <c r="I221" s="68">
        <v>323.8</v>
      </c>
      <c r="J221" s="68">
        <f t="shared" si="13"/>
        <v>0</v>
      </c>
      <c r="K221" s="68">
        <f t="shared" si="12"/>
        <v>0</v>
      </c>
      <c r="L221" s="100">
        <f t="shared" si="14"/>
        <v>-0.42486133646629831</v>
      </c>
      <c r="M221" s="68">
        <f t="shared" si="15"/>
        <v>10</v>
      </c>
    </row>
    <row r="222" spans="1:13">
      <c r="A222" s="100" t="str">
        <f>MID(Page012[[#This Row],[Column5]],SEARCH("(",Page012[[#This Row],[Column5]])+1,SEARCH(")",Page012[[#This Row],[Column5]])-SEARCH("(",Page012[[#This Row],[Column5]])-1)</f>
        <v>7.92</v>
      </c>
      <c r="B222" s="68" t="s">
        <v>434</v>
      </c>
      <c r="C222" s="68" t="s">
        <v>292</v>
      </c>
      <c r="D222" s="68" t="s">
        <v>292</v>
      </c>
      <c r="E222" s="68" t="s">
        <v>435</v>
      </c>
      <c r="F222" s="68" t="s">
        <v>390</v>
      </c>
      <c r="G222" s="68">
        <v>61.7</v>
      </c>
      <c r="H222" s="100" t="str">
        <f>MID(Page012[[#This Row],[Column4]],SEARCH("(",Page012[[#This Row],[Column4]])+1,SEARCH(")",Page012[[#This Row],[Column4]])-SEARCH("(",Page012[[#This Row],[Column4]])-1)</f>
        <v>323.8</v>
      </c>
      <c r="I222" s="68">
        <v>323.8</v>
      </c>
      <c r="J222" s="68">
        <f t="shared" si="13"/>
        <v>0</v>
      </c>
      <c r="K222" s="68">
        <f t="shared" si="12"/>
        <v>0</v>
      </c>
      <c r="L222" s="100">
        <f t="shared" si="14"/>
        <v>-0.42486133646629831</v>
      </c>
      <c r="M222" s="68">
        <f t="shared" si="15"/>
        <v>10</v>
      </c>
    </row>
    <row r="223" spans="1:13">
      <c r="A223" s="100" t="str">
        <f>MID(Page012[[#This Row],[Column5]],SEARCH("(",Page012[[#This Row],[Column5]])+1,SEARCH(")",Page012[[#This Row],[Column5]])-SEARCH("(",Page012[[#This Row],[Column5]])-1)</f>
        <v>8.38</v>
      </c>
      <c r="B223" s="68" t="s">
        <v>434</v>
      </c>
      <c r="C223" s="68" t="s">
        <v>292</v>
      </c>
      <c r="D223" s="68" t="s">
        <v>297</v>
      </c>
      <c r="E223" s="68" t="s">
        <v>435</v>
      </c>
      <c r="F223" s="68" t="s">
        <v>437</v>
      </c>
      <c r="G223" s="68">
        <v>65.19</v>
      </c>
      <c r="H223" s="100" t="str">
        <f>MID(Page012[[#This Row],[Column4]],SEARCH("(",Page012[[#This Row],[Column4]])+1,SEARCH(")",Page012[[#This Row],[Column4]])-SEARCH("(",Page012[[#This Row],[Column4]])-1)</f>
        <v>323.8</v>
      </c>
      <c r="I223" s="68">
        <v>323.8</v>
      </c>
      <c r="J223" s="68">
        <f t="shared" si="13"/>
        <v>0</v>
      </c>
      <c r="K223" s="68">
        <f t="shared" si="12"/>
        <v>0</v>
      </c>
      <c r="L223" s="100">
        <f t="shared" si="14"/>
        <v>-0.42486133646629831</v>
      </c>
      <c r="M223" s="68">
        <f t="shared" si="15"/>
        <v>10</v>
      </c>
    </row>
    <row r="224" spans="1:13">
      <c r="A224" s="100" t="str">
        <f>MID(Page012[[#This Row],[Column5]],SEARCH("(",Page012[[#This Row],[Column5]])+1,SEARCH(")",Page012[[#This Row],[Column5]])-SEARCH("(",Page012[[#This Row],[Column5]])-1)</f>
        <v>8.74</v>
      </c>
      <c r="B224" s="68" t="s">
        <v>434</v>
      </c>
      <c r="C224" s="68" t="s">
        <v>292</v>
      </c>
      <c r="D224" s="68" t="s">
        <v>292</v>
      </c>
      <c r="E224" s="68" t="s">
        <v>435</v>
      </c>
      <c r="F224" s="68" t="s">
        <v>367</v>
      </c>
      <c r="G224" s="68">
        <v>67.91</v>
      </c>
      <c r="H224" s="100" t="str">
        <f>MID(Page012[[#This Row],[Column4]],SEARCH("(",Page012[[#This Row],[Column4]])+1,SEARCH(")",Page012[[#This Row],[Column4]])-SEARCH("(",Page012[[#This Row],[Column4]])-1)</f>
        <v>323.8</v>
      </c>
      <c r="I224" s="68">
        <v>323.8</v>
      </c>
      <c r="J224" s="68">
        <f t="shared" si="13"/>
        <v>0</v>
      </c>
      <c r="K224" s="68">
        <f t="shared" si="12"/>
        <v>0</v>
      </c>
      <c r="L224" s="100">
        <f t="shared" si="14"/>
        <v>-0.42486133646629831</v>
      </c>
      <c r="M224" s="68">
        <f t="shared" si="15"/>
        <v>10</v>
      </c>
    </row>
    <row r="225" spans="1:13">
      <c r="A225" s="100" t="str">
        <f>MID(Page012[[#This Row],[Column5]],SEARCH("(",Page012[[#This Row],[Column5]])+1,SEARCH(")",Page012[[#This Row],[Column5]])-SEARCH("(",Page012[[#This Row],[Column5]])-1)</f>
        <v>9.53</v>
      </c>
      <c r="B225" s="68" t="s">
        <v>434</v>
      </c>
      <c r="C225" s="68" t="s">
        <v>300</v>
      </c>
      <c r="D225" s="68" t="s">
        <v>292</v>
      </c>
      <c r="E225" s="68" t="s">
        <v>435</v>
      </c>
      <c r="F225" s="68" t="s">
        <v>376</v>
      </c>
      <c r="G225" s="68">
        <v>73.86</v>
      </c>
      <c r="H225" s="100" t="str">
        <f>MID(Page012[[#This Row],[Column4]],SEARCH("(",Page012[[#This Row],[Column4]])+1,SEARCH(")",Page012[[#This Row],[Column4]])-SEARCH("(",Page012[[#This Row],[Column4]])-1)</f>
        <v>323.8</v>
      </c>
      <c r="I225" s="68">
        <v>323.8</v>
      </c>
      <c r="J225" s="68">
        <f t="shared" si="13"/>
        <v>0</v>
      </c>
      <c r="K225" s="68">
        <f t="shared" si="12"/>
        <v>0</v>
      </c>
      <c r="L225" s="100">
        <f t="shared" si="14"/>
        <v>-0.42486133646629831</v>
      </c>
      <c r="M225" s="68">
        <f t="shared" si="15"/>
        <v>10</v>
      </c>
    </row>
    <row r="226" spans="1:13">
      <c r="A226" s="100" t="str">
        <f>MID(Page012[[#This Row],[Column5]],SEARCH("(",Page012[[#This Row],[Column5]])+1,SEARCH(")",Page012[[#This Row],[Column5]])-SEARCH("(",Page012[[#This Row],[Column5]])-1)</f>
        <v>10.31</v>
      </c>
      <c r="B226" s="68" t="s">
        <v>434</v>
      </c>
      <c r="C226" s="68" t="s">
        <v>292</v>
      </c>
      <c r="D226" s="68" t="s">
        <v>301</v>
      </c>
      <c r="E226" s="68" t="s">
        <v>435</v>
      </c>
      <c r="F226" s="68" t="s">
        <v>417</v>
      </c>
      <c r="G226" s="68">
        <v>79.709999999999994</v>
      </c>
      <c r="H226" s="100" t="str">
        <f>MID(Page012[[#This Row],[Column4]],SEARCH("(",Page012[[#This Row],[Column4]])+1,SEARCH(")",Page012[[#This Row],[Column4]])-SEARCH("(",Page012[[#This Row],[Column4]])-1)</f>
        <v>323.8</v>
      </c>
      <c r="I226" s="68">
        <v>323.8</v>
      </c>
      <c r="J226" s="68">
        <f t="shared" si="13"/>
        <v>0</v>
      </c>
      <c r="K226" s="68">
        <f t="shared" si="12"/>
        <v>0</v>
      </c>
      <c r="L226" s="100">
        <f t="shared" si="14"/>
        <v>-0.42486133646629831</v>
      </c>
      <c r="M226" s="68">
        <f t="shared" si="15"/>
        <v>10</v>
      </c>
    </row>
    <row r="227" spans="1:13">
      <c r="A227" s="100" t="str">
        <f>MID(Page012[[#This Row],[Column5]],SEARCH("(",Page012[[#This Row],[Column5]])+1,SEARCH(")",Page012[[#This Row],[Column5]])-SEARCH("(",Page012[[#This Row],[Column5]])-1)</f>
        <v>11.13</v>
      </c>
      <c r="B227" s="68" t="s">
        <v>434</v>
      </c>
      <c r="C227" s="68" t="s">
        <v>292</v>
      </c>
      <c r="D227" s="68" t="s">
        <v>292</v>
      </c>
      <c r="E227" s="68" t="s">
        <v>435</v>
      </c>
      <c r="F227" s="68" t="s">
        <v>381</v>
      </c>
      <c r="G227" s="68">
        <v>85.82</v>
      </c>
      <c r="H227" s="100" t="str">
        <f>MID(Page012[[#This Row],[Column4]],SEARCH("(",Page012[[#This Row],[Column4]])+1,SEARCH(")",Page012[[#This Row],[Column4]])-SEARCH("(",Page012[[#This Row],[Column4]])-1)</f>
        <v>323.8</v>
      </c>
      <c r="I227" s="68">
        <v>323.8</v>
      </c>
      <c r="J227" s="68">
        <f t="shared" si="13"/>
        <v>0</v>
      </c>
      <c r="K227" s="68">
        <f t="shared" si="12"/>
        <v>0</v>
      </c>
      <c r="L227" s="100">
        <f t="shared" si="14"/>
        <v>-0.42486133646629831</v>
      </c>
      <c r="M227" s="68">
        <f t="shared" si="15"/>
        <v>10</v>
      </c>
    </row>
    <row r="228" spans="1:13">
      <c r="A228" s="100" t="str">
        <f>MID(Page012[[#This Row],[Column5]],SEARCH("(",Page012[[#This Row],[Column5]])+1,SEARCH(")",Page012[[#This Row],[Column5]])-SEARCH("(",Page012[[#This Row],[Column5]])-1)</f>
        <v>12.70</v>
      </c>
      <c r="B228" s="68" t="s">
        <v>434</v>
      </c>
      <c r="C228" s="68" t="s">
        <v>303</v>
      </c>
      <c r="D228" s="68" t="s">
        <v>292</v>
      </c>
      <c r="E228" s="68" t="s">
        <v>435</v>
      </c>
      <c r="F228" s="68" t="s">
        <v>399</v>
      </c>
      <c r="G228" s="68">
        <v>97.44</v>
      </c>
      <c r="H228" s="100" t="str">
        <f>MID(Page012[[#This Row],[Column4]],SEARCH("(",Page012[[#This Row],[Column4]])+1,SEARCH(")",Page012[[#This Row],[Column4]])-SEARCH("(",Page012[[#This Row],[Column4]])-1)</f>
        <v>323.8</v>
      </c>
      <c r="I228" s="68">
        <v>323.8</v>
      </c>
      <c r="J228" s="68">
        <f t="shared" si="13"/>
        <v>0</v>
      </c>
      <c r="K228" s="68">
        <f t="shared" si="12"/>
        <v>0</v>
      </c>
      <c r="L228" s="100">
        <f t="shared" si="14"/>
        <v>-0.42486133646629831</v>
      </c>
      <c r="M228" s="68">
        <f t="shared" si="15"/>
        <v>10</v>
      </c>
    </row>
    <row r="229" spans="1:13">
      <c r="A229" s="100" t="str">
        <f>MID(Page012[[#This Row],[Column5]],SEARCH("(",Page012[[#This Row],[Column5]])+1,SEARCH(")",Page012[[#This Row],[Column5]])-SEARCH("(",Page012[[#This Row],[Column5]])-1)</f>
        <v>14.27</v>
      </c>
      <c r="B229" s="68" t="s">
        <v>434</v>
      </c>
      <c r="C229" s="68" t="s">
        <v>292</v>
      </c>
      <c r="D229" s="68" t="s">
        <v>416</v>
      </c>
      <c r="E229" s="68" t="s">
        <v>435</v>
      </c>
      <c r="F229" s="68" t="s">
        <v>406</v>
      </c>
      <c r="G229" s="68">
        <v>108.43</v>
      </c>
      <c r="H229" s="100" t="str">
        <f>MID(Page012[[#This Row],[Column4]],SEARCH("(",Page012[[#This Row],[Column4]])+1,SEARCH(")",Page012[[#This Row],[Column4]])-SEARCH("(",Page012[[#This Row],[Column4]])-1)</f>
        <v>323.8</v>
      </c>
      <c r="I229" s="68">
        <v>323.8</v>
      </c>
      <c r="J229" s="68">
        <f t="shared" si="13"/>
        <v>0</v>
      </c>
      <c r="K229" s="68">
        <f t="shared" si="12"/>
        <v>0</v>
      </c>
      <c r="L229" s="100">
        <f t="shared" si="14"/>
        <v>-0.42486133646629831</v>
      </c>
      <c r="M229" s="68">
        <f t="shared" si="15"/>
        <v>10</v>
      </c>
    </row>
    <row r="230" spans="1:13">
      <c r="A230" s="100" t="str">
        <f>MID(Page012[[#This Row],[Column5]],SEARCH("(",Page012[[#This Row],[Column5]])+1,SEARCH(")",Page012[[#This Row],[Column5]])-SEARCH("(",Page012[[#This Row],[Column5]])-1)</f>
        <v>15.88</v>
      </c>
      <c r="B230" s="68" t="s">
        <v>434</v>
      </c>
      <c r="C230" s="68" t="s">
        <v>292</v>
      </c>
      <c r="D230" s="68" t="s">
        <v>292</v>
      </c>
      <c r="E230" s="68" t="s">
        <v>435</v>
      </c>
      <c r="F230" s="68" t="s">
        <v>400</v>
      </c>
      <c r="G230" s="68">
        <v>120.59</v>
      </c>
      <c r="H230" s="100" t="str">
        <f>MID(Page012[[#This Row],[Column4]],SEARCH("(",Page012[[#This Row],[Column4]])+1,SEARCH(")",Page012[[#This Row],[Column4]])-SEARCH("(",Page012[[#This Row],[Column4]])-1)</f>
        <v>323.8</v>
      </c>
      <c r="I230" s="68">
        <v>323.8</v>
      </c>
      <c r="J230" s="68">
        <f t="shared" si="13"/>
        <v>0</v>
      </c>
      <c r="K230" s="68">
        <f t="shared" si="12"/>
        <v>0</v>
      </c>
      <c r="L230" s="100">
        <f t="shared" si="14"/>
        <v>-0.42486133646629831</v>
      </c>
      <c r="M230" s="68">
        <f t="shared" si="15"/>
        <v>10</v>
      </c>
    </row>
    <row r="231" spans="1:13">
      <c r="A231" s="100" t="str">
        <f>MID(Page012[[#This Row],[Column5]],SEARCH("(",Page012[[#This Row],[Column5]])+1,SEARCH(")",Page012[[#This Row],[Column5]])-SEARCH("(",Page012[[#This Row],[Column5]])-1)</f>
        <v>17.48</v>
      </c>
      <c r="B231" s="68" t="s">
        <v>434</v>
      </c>
      <c r="C231" s="68" t="s">
        <v>292</v>
      </c>
      <c r="D231" s="68" t="s">
        <v>304</v>
      </c>
      <c r="E231" s="68" t="s">
        <v>435</v>
      </c>
      <c r="F231" s="68" t="s">
        <v>438</v>
      </c>
      <c r="G231" s="68">
        <v>132.05000000000001</v>
      </c>
      <c r="H231" s="100" t="str">
        <f>MID(Page012[[#This Row],[Column4]],SEARCH("(",Page012[[#This Row],[Column4]])+1,SEARCH(")",Page012[[#This Row],[Column4]])-SEARCH("(",Page012[[#This Row],[Column4]])-1)</f>
        <v>323.8</v>
      </c>
      <c r="I231" s="68">
        <v>323.8</v>
      </c>
      <c r="J231" s="68">
        <f t="shared" si="13"/>
        <v>0</v>
      </c>
      <c r="K231" s="68">
        <f t="shared" si="12"/>
        <v>0</v>
      </c>
      <c r="L231" s="100">
        <f t="shared" si="14"/>
        <v>-0.42486133646629831</v>
      </c>
      <c r="M231" s="68">
        <f t="shared" si="15"/>
        <v>10</v>
      </c>
    </row>
    <row r="232" spans="1:13">
      <c r="A232" s="100" t="str">
        <f>MID(Page012[[#This Row],[Column5]],SEARCH("(",Page012[[#This Row],[Column5]])+1,SEARCH(")",Page012[[#This Row],[Column5]])-SEARCH("(",Page012[[#This Row],[Column5]])-1)</f>
        <v>19.05</v>
      </c>
      <c r="B232" s="68" t="s">
        <v>434</v>
      </c>
      <c r="C232" s="68" t="s">
        <v>292</v>
      </c>
      <c r="D232" s="68" t="s">
        <v>292</v>
      </c>
      <c r="E232" s="68" t="s">
        <v>435</v>
      </c>
      <c r="F232" s="68" t="s">
        <v>401</v>
      </c>
      <c r="G232" s="68">
        <v>143.16999999999999</v>
      </c>
      <c r="H232" s="100" t="str">
        <f>MID(Page012[[#This Row],[Column4]],SEARCH("(",Page012[[#This Row],[Column4]])+1,SEARCH(")",Page012[[#This Row],[Column4]])-SEARCH("(",Page012[[#This Row],[Column4]])-1)</f>
        <v>323.8</v>
      </c>
      <c r="I232" s="68">
        <v>323.8</v>
      </c>
      <c r="J232" s="68">
        <f t="shared" si="13"/>
        <v>0</v>
      </c>
      <c r="K232" s="68">
        <f t="shared" si="12"/>
        <v>0</v>
      </c>
      <c r="L232" s="100">
        <f t="shared" si="14"/>
        <v>-0.42486133646629831</v>
      </c>
      <c r="M232" s="68">
        <f t="shared" si="15"/>
        <v>10</v>
      </c>
    </row>
    <row r="233" spans="1:13">
      <c r="A233" s="100" t="str">
        <f>MID(Page012[[#This Row],[Column5]],SEARCH("(",Page012[[#This Row],[Column5]])+1,SEARCH(")",Page012[[#This Row],[Column5]])-SEARCH("(",Page012[[#This Row],[Column5]])-1)</f>
        <v>20.62</v>
      </c>
      <c r="B233" s="68" t="s">
        <v>434</v>
      </c>
      <c r="C233" s="68" t="s">
        <v>292</v>
      </c>
      <c r="D233" s="68" t="s">
        <v>292</v>
      </c>
      <c r="E233" s="68" t="s">
        <v>435</v>
      </c>
      <c r="F233" s="68" t="s">
        <v>421</v>
      </c>
      <c r="G233" s="68">
        <v>154.16999999999999</v>
      </c>
      <c r="H233" s="100" t="str">
        <f>MID(Page012[[#This Row],[Column4]],SEARCH("(",Page012[[#This Row],[Column4]])+1,SEARCH(")",Page012[[#This Row],[Column4]])-SEARCH("(",Page012[[#This Row],[Column4]])-1)</f>
        <v>323.8</v>
      </c>
      <c r="I233" s="68">
        <v>323.8</v>
      </c>
      <c r="J233" s="68">
        <f t="shared" si="13"/>
        <v>0</v>
      </c>
      <c r="K233" s="68">
        <f t="shared" si="12"/>
        <v>0</v>
      </c>
      <c r="L233" s="100">
        <f t="shared" si="14"/>
        <v>-0.42486133646629831</v>
      </c>
      <c r="M233" s="68">
        <f t="shared" si="15"/>
        <v>10</v>
      </c>
    </row>
    <row r="234" spans="1:13">
      <c r="A234" s="100" t="str">
        <f>MID(Page012[[#This Row],[Column5]],SEARCH("(",Page012[[#This Row],[Column5]])+1,SEARCH(")",Page012[[#This Row],[Column5]])-SEARCH("(",Page012[[#This Row],[Column5]])-1)</f>
        <v>21.44</v>
      </c>
      <c r="B234" s="68" t="s">
        <v>434</v>
      </c>
      <c r="C234" s="68" t="s">
        <v>292</v>
      </c>
      <c r="D234" s="68" t="s">
        <v>418</v>
      </c>
      <c r="E234" s="68" t="s">
        <v>435</v>
      </c>
      <c r="F234" s="68" t="s">
        <v>430</v>
      </c>
      <c r="G234" s="68">
        <v>159.87</v>
      </c>
      <c r="H234" s="100" t="str">
        <f>MID(Page012[[#This Row],[Column4]],SEARCH("(",Page012[[#This Row],[Column4]])+1,SEARCH(")",Page012[[#This Row],[Column4]])-SEARCH("(",Page012[[#This Row],[Column4]])-1)</f>
        <v>323.8</v>
      </c>
      <c r="I234" s="68">
        <v>323.8</v>
      </c>
      <c r="J234" s="68">
        <f t="shared" si="13"/>
        <v>0</v>
      </c>
      <c r="K234" s="68">
        <f t="shared" si="12"/>
        <v>0</v>
      </c>
      <c r="L234" s="100">
        <f t="shared" si="14"/>
        <v>-0.42486133646629831</v>
      </c>
      <c r="M234" s="68">
        <f t="shared" si="15"/>
        <v>10</v>
      </c>
    </row>
    <row r="235" spans="1:13">
      <c r="A235" s="100" t="str">
        <f>MID(Page012[[#This Row],[Column5]],SEARCH("(",Page012[[#This Row],[Column5]])+1,SEARCH(")",Page012[[#This Row],[Column5]])-SEARCH("(",Page012[[#This Row],[Column5]])-1)</f>
        <v>22.23</v>
      </c>
      <c r="B235" s="68" t="s">
        <v>434</v>
      </c>
      <c r="C235" s="68" t="s">
        <v>292</v>
      </c>
      <c r="D235" s="68" t="s">
        <v>292</v>
      </c>
      <c r="E235" s="68" t="s">
        <v>435</v>
      </c>
      <c r="F235" s="68" t="s">
        <v>409</v>
      </c>
      <c r="G235" s="68">
        <v>165.33</v>
      </c>
      <c r="H235" s="100" t="str">
        <f>MID(Page012[[#This Row],[Column4]],SEARCH("(",Page012[[#This Row],[Column4]])+1,SEARCH(")",Page012[[#This Row],[Column4]])-SEARCH("(",Page012[[#This Row],[Column4]])-1)</f>
        <v>323.8</v>
      </c>
      <c r="I235" s="68">
        <v>323.8</v>
      </c>
      <c r="J235" s="68">
        <f t="shared" si="13"/>
        <v>0</v>
      </c>
      <c r="K235" s="68">
        <f t="shared" si="12"/>
        <v>0</v>
      </c>
      <c r="L235" s="100">
        <f t="shared" si="14"/>
        <v>-0.42486133646629831</v>
      </c>
      <c r="M235" s="68">
        <f t="shared" si="15"/>
        <v>10</v>
      </c>
    </row>
    <row r="236" spans="1:13">
      <c r="A236" s="100" t="str">
        <f>MID(Page012[[#This Row],[Column5]],SEARCH("(",Page012[[#This Row],[Column5]])+1,SEARCH(")",Page012[[#This Row],[Column5]])-SEARCH("(",Page012[[#This Row],[Column5]])-1)</f>
        <v>23.83</v>
      </c>
      <c r="B236" s="68" t="s">
        <v>434</v>
      </c>
      <c r="C236" s="68" t="s">
        <v>292</v>
      </c>
      <c r="D236" s="68" t="s">
        <v>292</v>
      </c>
      <c r="E236" s="68" t="s">
        <v>435</v>
      </c>
      <c r="F236" s="68" t="s">
        <v>431</v>
      </c>
      <c r="G236" s="68">
        <v>176.29</v>
      </c>
      <c r="H236" s="100" t="str">
        <f>MID(Page012[[#This Row],[Column4]],SEARCH("(",Page012[[#This Row],[Column4]])+1,SEARCH(")",Page012[[#This Row],[Column4]])-SEARCH("(",Page012[[#This Row],[Column4]])-1)</f>
        <v>323.8</v>
      </c>
      <c r="I236" s="68">
        <v>323.8</v>
      </c>
      <c r="J236" s="68">
        <f t="shared" si="13"/>
        <v>0</v>
      </c>
      <c r="K236" s="68">
        <f t="shared" si="12"/>
        <v>0</v>
      </c>
      <c r="L236" s="100">
        <f t="shared" si="14"/>
        <v>-0.42486133646629831</v>
      </c>
      <c r="M236" s="68">
        <f t="shared" si="15"/>
        <v>10</v>
      </c>
    </row>
    <row r="237" spans="1:13">
      <c r="A237" s="100" t="str">
        <f>MID(Page012[[#This Row],[Column5]],SEARCH("(",Page012[[#This Row],[Column5]])+1,SEARCH(")",Page012[[#This Row],[Column5]])-SEARCH("(",Page012[[#This Row],[Column5]])-1)</f>
        <v>25.40</v>
      </c>
      <c r="B237" s="68" t="s">
        <v>434</v>
      </c>
      <c r="C237" s="68" t="s">
        <v>308</v>
      </c>
      <c r="D237" s="68" t="s">
        <v>392</v>
      </c>
      <c r="E237" s="68" t="s">
        <v>435</v>
      </c>
      <c r="F237" s="68" t="s">
        <v>423</v>
      </c>
      <c r="G237" s="68">
        <v>186.92</v>
      </c>
      <c r="H237" s="100" t="str">
        <f>MID(Page012[[#This Row],[Column4]],SEARCH("(",Page012[[#This Row],[Column4]])+1,SEARCH(")",Page012[[#This Row],[Column4]])-SEARCH("(",Page012[[#This Row],[Column4]])-1)</f>
        <v>323.8</v>
      </c>
      <c r="I237" s="68">
        <v>323.8</v>
      </c>
      <c r="J237" s="68">
        <f t="shared" si="13"/>
        <v>0</v>
      </c>
      <c r="K237" s="68">
        <f t="shared" si="12"/>
        <v>0</v>
      </c>
      <c r="L237" s="100">
        <f t="shared" si="14"/>
        <v>-0.42486133646629831</v>
      </c>
      <c r="M237" s="68">
        <f t="shared" si="15"/>
        <v>10</v>
      </c>
    </row>
    <row r="238" spans="1:13">
      <c r="A238" s="100" t="str">
        <f>MID(Page012[[#This Row],[Column5]],SEARCH("(",Page012[[#This Row],[Column5]])+1,SEARCH(")",Page012[[#This Row],[Column5]])-SEARCH("(",Page012[[#This Row],[Column5]])-1)</f>
        <v>26.97</v>
      </c>
      <c r="B238" s="68" t="s">
        <v>434</v>
      </c>
      <c r="C238" s="68" t="s">
        <v>292</v>
      </c>
      <c r="D238" s="68" t="s">
        <v>292</v>
      </c>
      <c r="E238" s="68" t="s">
        <v>435</v>
      </c>
      <c r="F238" s="68" t="s">
        <v>439</v>
      </c>
      <c r="G238" s="68">
        <v>197.83</v>
      </c>
      <c r="H238" s="100" t="str">
        <f>MID(Page012[[#This Row],[Column4]],SEARCH("(",Page012[[#This Row],[Column4]])+1,SEARCH(")",Page012[[#This Row],[Column4]])-SEARCH("(",Page012[[#This Row],[Column4]])-1)</f>
        <v>323.8</v>
      </c>
      <c r="I238" s="68">
        <v>323.8</v>
      </c>
      <c r="J238" s="68">
        <f t="shared" si="13"/>
        <v>0</v>
      </c>
      <c r="K238" s="68">
        <f t="shared" si="12"/>
        <v>0</v>
      </c>
      <c r="L238" s="100">
        <f t="shared" si="14"/>
        <v>-0.42486133646629831</v>
      </c>
      <c r="M238" s="68">
        <f t="shared" si="15"/>
        <v>10</v>
      </c>
    </row>
    <row r="239" spans="1:13">
      <c r="A239" s="100" t="str">
        <f>MID(Page012[[#This Row],[Column5]],SEARCH("(",Page012[[#This Row],[Column5]])+1,SEARCH(")",Page012[[#This Row],[Column5]])-SEARCH("(",Page012[[#This Row],[Column5]])-1)</f>
        <v>28.58</v>
      </c>
      <c r="B239" s="68" t="s">
        <v>434</v>
      </c>
      <c r="C239" s="68" t="s">
        <v>292</v>
      </c>
      <c r="D239" s="68" t="s">
        <v>420</v>
      </c>
      <c r="E239" s="68" t="s">
        <v>435</v>
      </c>
      <c r="F239" s="68" t="s">
        <v>432</v>
      </c>
      <c r="G239" s="68">
        <v>208.08</v>
      </c>
      <c r="H239" s="100" t="str">
        <f>MID(Page012[[#This Row],[Column4]],SEARCH("(",Page012[[#This Row],[Column4]])+1,SEARCH(")",Page012[[#This Row],[Column4]])-SEARCH("(",Page012[[#This Row],[Column4]])-1)</f>
        <v>323.8</v>
      </c>
      <c r="I239" s="68">
        <v>323.8</v>
      </c>
      <c r="J239" s="68">
        <f t="shared" si="13"/>
        <v>0</v>
      </c>
      <c r="K239" s="68">
        <f t="shared" si="12"/>
        <v>0</v>
      </c>
      <c r="L239" s="100">
        <f t="shared" si="14"/>
        <v>-0.42486133646629831</v>
      </c>
      <c r="M239" s="68">
        <f t="shared" si="15"/>
        <v>10</v>
      </c>
    </row>
    <row r="240" spans="1:13">
      <c r="A240" s="100" t="str">
        <f>MID(Page012[[#This Row],[Column5]],SEARCH("(",Page012[[#This Row],[Column5]])+1,SEARCH(")",Page012[[#This Row],[Column5]])-SEARCH("(",Page012[[#This Row],[Column5]])-1)</f>
        <v>31.75</v>
      </c>
      <c r="B240" s="68" t="s">
        <v>434</v>
      </c>
      <c r="C240" s="68" t="s">
        <v>292</v>
      </c>
      <c r="D240" s="68" t="s">
        <v>292</v>
      </c>
      <c r="E240" s="68" t="s">
        <v>435</v>
      </c>
      <c r="F240" s="68" t="s">
        <v>433</v>
      </c>
      <c r="G240" s="68">
        <v>228.68</v>
      </c>
      <c r="H240" s="100" t="str">
        <f>MID(Page012[[#This Row],[Column4]],SEARCH("(",Page012[[#This Row],[Column4]])+1,SEARCH(")",Page012[[#This Row],[Column4]])-SEARCH("(",Page012[[#This Row],[Column4]])-1)</f>
        <v>323.8</v>
      </c>
      <c r="I240" s="68">
        <v>323.8</v>
      </c>
      <c r="J240" s="68">
        <f t="shared" si="13"/>
        <v>0</v>
      </c>
      <c r="K240" s="68">
        <f t="shared" si="12"/>
        <v>0</v>
      </c>
      <c r="L240" s="100">
        <f t="shared" si="14"/>
        <v>-0.42486133646629831</v>
      </c>
      <c r="M240" s="68">
        <f t="shared" si="15"/>
        <v>10</v>
      </c>
    </row>
    <row r="241" spans="1:13">
      <c r="A241" s="100" t="str">
        <f>MID(Page012[[#This Row],[Column5]],SEARCH("(",Page012[[#This Row],[Column5]])+1,SEARCH(")",Page012[[#This Row],[Column5]])-SEARCH("(",Page012[[#This Row],[Column5]])-1)</f>
        <v>33.32</v>
      </c>
      <c r="B241" s="68" t="s">
        <v>434</v>
      </c>
      <c r="C241" s="68" t="s">
        <v>292</v>
      </c>
      <c r="D241" s="68" t="s">
        <v>306</v>
      </c>
      <c r="E241" s="68" t="s">
        <v>435</v>
      </c>
      <c r="F241" s="68" t="s">
        <v>440</v>
      </c>
      <c r="G241" s="68">
        <v>238.69</v>
      </c>
      <c r="H241" s="100" t="str">
        <f>MID(Page012[[#This Row],[Column4]],SEARCH("(",Page012[[#This Row],[Column4]])+1,SEARCH(")",Page012[[#This Row],[Column4]])-SEARCH("(",Page012[[#This Row],[Column4]])-1)</f>
        <v>323.8</v>
      </c>
      <c r="I241" s="68">
        <v>323.8</v>
      </c>
      <c r="J241" s="68">
        <f t="shared" si="13"/>
        <v>0</v>
      </c>
      <c r="K241" s="68">
        <f t="shared" si="12"/>
        <v>0</v>
      </c>
      <c r="L241" s="100">
        <f t="shared" si="14"/>
        <v>-0.42486133646629831</v>
      </c>
      <c r="M241" s="68">
        <f t="shared" si="15"/>
        <v>10</v>
      </c>
    </row>
    <row r="242" spans="1:13">
      <c r="A242" s="100" t="str">
        <f>MID(Page012[[#This Row],[Column5]],SEARCH("(",Page012[[#This Row],[Column5]])+1,SEARCH(")",Page012[[#This Row],[Column5]])-SEARCH("(",Page012[[#This Row],[Column5]])-1)</f>
        <v>3.96</v>
      </c>
      <c r="B242" s="68" t="s">
        <v>441</v>
      </c>
      <c r="C242" s="68" t="s">
        <v>292</v>
      </c>
      <c r="D242" s="68" t="s">
        <v>330</v>
      </c>
      <c r="E242" s="68" t="s">
        <v>442</v>
      </c>
      <c r="F242" s="68" t="s">
        <v>372</v>
      </c>
      <c r="G242" s="68">
        <v>34.340000000000003</v>
      </c>
      <c r="H242" s="100" t="str">
        <f>MID(Page012[[#This Row],[Column4]],SEARCH("(",Page012[[#This Row],[Column4]])+1,SEARCH(")",Page012[[#This Row],[Column4]])-SEARCH("(",Page012[[#This Row],[Column4]])-1)</f>
        <v>355.6</v>
      </c>
      <c r="I242" s="68">
        <v>355.6</v>
      </c>
      <c r="J242" s="68">
        <f t="shared" si="13"/>
        <v>0</v>
      </c>
      <c r="K242" s="68">
        <f t="shared" si="12"/>
        <v>0</v>
      </c>
      <c r="L242" s="100">
        <f t="shared" si="14"/>
        <v>-0.42486133646629831</v>
      </c>
      <c r="M242" s="68">
        <f t="shared" si="15"/>
        <v>10</v>
      </c>
    </row>
    <row r="243" spans="1:13">
      <c r="A243" s="100" t="str">
        <f>MID(Page012[[#This Row],[Column5]],SEARCH("(",Page012[[#This Row],[Column5]])+1,SEARCH(")",Page012[[#This Row],[Column5]])-SEARCH("(",Page012[[#This Row],[Column5]])-1)</f>
        <v>4.78</v>
      </c>
      <c r="B243" s="68" t="s">
        <v>441</v>
      </c>
      <c r="C243" s="68" t="s">
        <v>292</v>
      </c>
      <c r="D243" s="68" t="s">
        <v>292</v>
      </c>
      <c r="E243" s="68" t="s">
        <v>442</v>
      </c>
      <c r="F243" s="68" t="s">
        <v>335</v>
      </c>
      <c r="G243" s="68">
        <v>41.36</v>
      </c>
      <c r="H243" s="100" t="str">
        <f>MID(Page012[[#This Row],[Column4]],SEARCH("(",Page012[[#This Row],[Column4]])+1,SEARCH(")",Page012[[#This Row],[Column4]])-SEARCH("(",Page012[[#This Row],[Column4]])-1)</f>
        <v>355.6</v>
      </c>
      <c r="I243" s="68">
        <v>355.6</v>
      </c>
      <c r="J243" s="68">
        <f t="shared" si="13"/>
        <v>0</v>
      </c>
      <c r="K243" s="68">
        <f t="shared" si="12"/>
        <v>0</v>
      </c>
      <c r="L243" s="100">
        <f t="shared" si="14"/>
        <v>-0.42486133646629831</v>
      </c>
      <c r="M243" s="68">
        <f t="shared" si="15"/>
        <v>10</v>
      </c>
    </row>
    <row r="244" spans="1:13">
      <c r="A244" s="100" t="str">
        <f>MID(Page012[[#This Row],[Column5]],SEARCH("(",Page012[[#This Row],[Column5]])+1,SEARCH(")",Page012[[#This Row],[Column5]])-SEARCH("(",Page012[[#This Row],[Column5]])-1)</f>
        <v>5.16</v>
      </c>
      <c r="B244" s="68" t="s">
        <v>441</v>
      </c>
      <c r="C244" s="68" t="s">
        <v>292</v>
      </c>
      <c r="D244" s="68" t="s">
        <v>292</v>
      </c>
      <c r="E244" s="68" t="s">
        <v>442</v>
      </c>
      <c r="F244" s="68" t="s">
        <v>373</v>
      </c>
      <c r="G244" s="68">
        <v>44.59</v>
      </c>
      <c r="H244" s="100" t="str">
        <f>MID(Page012[[#This Row],[Column4]],SEARCH("(",Page012[[#This Row],[Column4]])+1,SEARCH(")",Page012[[#This Row],[Column4]])-SEARCH("(",Page012[[#This Row],[Column4]])-1)</f>
        <v>355.6</v>
      </c>
      <c r="I244" s="68">
        <v>355.6</v>
      </c>
      <c r="J244" s="68">
        <f t="shared" si="13"/>
        <v>0</v>
      </c>
      <c r="K244" s="68">
        <f t="shared" si="12"/>
        <v>0</v>
      </c>
      <c r="L244" s="100">
        <f t="shared" si="14"/>
        <v>-0.42486133646629831</v>
      </c>
      <c r="M244" s="68">
        <f t="shared" si="15"/>
        <v>10</v>
      </c>
    </row>
    <row r="245" spans="1:13">
      <c r="A245" s="100" t="str">
        <f>MID(Page012[[#This Row],[Column5]],SEARCH("(",Page012[[#This Row],[Column5]])+1,SEARCH(")",Page012[[#This Row],[Column5]])-SEARCH("(",Page012[[#This Row],[Column5]])-1)</f>
        <v>5.33</v>
      </c>
      <c r="B245" s="68" t="s">
        <v>441</v>
      </c>
      <c r="C245" s="68" t="s">
        <v>292</v>
      </c>
      <c r="D245" s="68" t="s">
        <v>292</v>
      </c>
      <c r="E245" s="68" t="s">
        <v>442</v>
      </c>
      <c r="F245" s="68" t="s">
        <v>443</v>
      </c>
      <c r="G245" s="68">
        <v>64.040000000000006</v>
      </c>
      <c r="H245" s="100" t="str">
        <f>MID(Page012[[#This Row],[Column4]],SEARCH("(",Page012[[#This Row],[Column4]])+1,SEARCH(")",Page012[[#This Row],[Column4]])-SEARCH("(",Page012[[#This Row],[Column4]])-1)</f>
        <v>355.6</v>
      </c>
      <c r="I245" s="68">
        <v>355.6</v>
      </c>
      <c r="J245" s="68">
        <f t="shared" si="13"/>
        <v>0</v>
      </c>
      <c r="K245" s="68">
        <f t="shared" si="12"/>
        <v>0</v>
      </c>
      <c r="L245" s="100">
        <f t="shared" si="14"/>
        <v>-0.42486133646629831</v>
      </c>
      <c r="M245" s="68">
        <f t="shared" si="15"/>
        <v>10</v>
      </c>
    </row>
    <row r="246" spans="1:13">
      <c r="A246" s="100" t="str">
        <f>MID(Page012[[#This Row],[Column5]],SEARCH("(",Page012[[#This Row],[Column5]])+1,SEARCH(")",Page012[[#This Row],[Column5]])-SEARCH("(",Page012[[#This Row],[Column5]])-1)</f>
        <v>5.56</v>
      </c>
      <c r="B246" s="68" t="s">
        <v>441</v>
      </c>
      <c r="C246" s="68" t="s">
        <v>292</v>
      </c>
      <c r="D246" s="68" t="s">
        <v>292</v>
      </c>
      <c r="E246" s="68" t="s">
        <v>442</v>
      </c>
      <c r="F246" s="68" t="s">
        <v>341</v>
      </c>
      <c r="G246" s="68">
        <v>48</v>
      </c>
      <c r="H246" s="100" t="str">
        <f>MID(Page012[[#This Row],[Column4]],SEARCH("(",Page012[[#This Row],[Column4]])+1,SEARCH(")",Page012[[#This Row],[Column4]])-SEARCH("(",Page012[[#This Row],[Column4]])-1)</f>
        <v>355.6</v>
      </c>
      <c r="I246" s="68">
        <v>355.6</v>
      </c>
      <c r="J246" s="68">
        <f t="shared" si="13"/>
        <v>0</v>
      </c>
      <c r="K246" s="68">
        <f t="shared" si="12"/>
        <v>0</v>
      </c>
      <c r="L246" s="100">
        <f t="shared" si="14"/>
        <v>-0.42486133646629831</v>
      </c>
      <c r="M246" s="68">
        <f t="shared" si="15"/>
        <v>10</v>
      </c>
    </row>
    <row r="247" spans="1:13">
      <c r="A247" s="100" t="str">
        <f>MID(Page012[[#This Row],[Column5]],SEARCH("(",Page012[[#This Row],[Column5]])+1,SEARCH(")",Page012[[#This Row],[Column5]])-SEARCH("(",Page012[[#This Row],[Column5]])-1)</f>
        <v>6.35</v>
      </c>
      <c r="B247" s="68" t="s">
        <v>441</v>
      </c>
      <c r="C247" s="68" t="s">
        <v>292</v>
      </c>
      <c r="D247" s="68" t="s">
        <v>293</v>
      </c>
      <c r="E247" s="68" t="s">
        <v>442</v>
      </c>
      <c r="F247" s="68" t="s">
        <v>348</v>
      </c>
      <c r="G247" s="68">
        <v>54.69</v>
      </c>
      <c r="H247" s="100" t="str">
        <f>MID(Page012[[#This Row],[Column4]],SEARCH("(",Page012[[#This Row],[Column4]])+1,SEARCH(")",Page012[[#This Row],[Column4]])-SEARCH("(",Page012[[#This Row],[Column4]])-1)</f>
        <v>355.6</v>
      </c>
      <c r="I247" s="68">
        <v>355.6</v>
      </c>
      <c r="J247" s="68">
        <f t="shared" si="13"/>
        <v>0</v>
      </c>
      <c r="K247" s="68">
        <f t="shared" si="12"/>
        <v>0</v>
      </c>
      <c r="L247" s="100">
        <f t="shared" si="14"/>
        <v>-0.42486133646629831</v>
      </c>
      <c r="M247" s="68">
        <f t="shared" si="15"/>
        <v>10</v>
      </c>
    </row>
    <row r="248" spans="1:13">
      <c r="A248" s="100" t="str">
        <f>MID(Page012[[#This Row],[Column5]],SEARCH("(",Page012[[#This Row],[Column5]])+1,SEARCH(")",Page012[[#This Row],[Column5]])-SEARCH("(",Page012[[#This Row],[Column5]])-1)</f>
        <v>7.14</v>
      </c>
      <c r="B248" s="68" t="s">
        <v>441</v>
      </c>
      <c r="C248" s="68" t="s">
        <v>292</v>
      </c>
      <c r="D248" s="68" t="s">
        <v>292</v>
      </c>
      <c r="E248" s="68" t="s">
        <v>442</v>
      </c>
      <c r="F248" s="68" t="s">
        <v>360</v>
      </c>
      <c r="G248" s="68">
        <v>61.36</v>
      </c>
      <c r="H248" s="100" t="str">
        <f>MID(Page012[[#This Row],[Column4]],SEARCH("(",Page012[[#This Row],[Column4]])+1,SEARCH(")",Page012[[#This Row],[Column4]])-SEARCH("(",Page012[[#This Row],[Column4]])-1)</f>
        <v>355.6</v>
      </c>
      <c r="I248" s="68">
        <v>355.6</v>
      </c>
      <c r="J248" s="68">
        <f t="shared" si="13"/>
        <v>0</v>
      </c>
      <c r="K248" s="68">
        <f t="shared" si="12"/>
        <v>0</v>
      </c>
      <c r="L248" s="100">
        <f t="shared" si="14"/>
        <v>-0.42486133646629831</v>
      </c>
      <c r="M248" s="68">
        <f t="shared" si="15"/>
        <v>10</v>
      </c>
    </row>
    <row r="249" spans="1:13">
      <c r="A249" s="100" t="str">
        <f>MID(Page012[[#This Row],[Column5]],SEARCH("(",Page012[[#This Row],[Column5]])+1,SEARCH(")",Page012[[#This Row],[Column5]])-SEARCH("(",Page012[[#This Row],[Column5]])-1)</f>
        <v>7.92</v>
      </c>
      <c r="B249" s="68" t="s">
        <v>441</v>
      </c>
      <c r="C249" s="68" t="s">
        <v>292</v>
      </c>
      <c r="D249" s="68" t="s">
        <v>413</v>
      </c>
      <c r="E249" s="68" t="s">
        <v>442</v>
      </c>
      <c r="F249" s="68" t="s">
        <v>390</v>
      </c>
      <c r="G249" s="68">
        <v>67.91</v>
      </c>
      <c r="H249" s="100" t="str">
        <f>MID(Page012[[#This Row],[Column4]],SEARCH("(",Page012[[#This Row],[Column4]])+1,SEARCH(")",Page012[[#This Row],[Column4]])-SEARCH("(",Page012[[#This Row],[Column4]])-1)</f>
        <v>355.6</v>
      </c>
      <c r="I249" s="68">
        <v>355.6</v>
      </c>
      <c r="J249" s="68">
        <f t="shared" si="13"/>
        <v>0</v>
      </c>
      <c r="K249" s="68">
        <f t="shared" si="12"/>
        <v>0</v>
      </c>
      <c r="L249" s="100">
        <f t="shared" si="14"/>
        <v>-0.42486133646629831</v>
      </c>
      <c r="M249" s="68">
        <f t="shared" si="15"/>
        <v>10</v>
      </c>
    </row>
    <row r="250" spans="1:13">
      <c r="A250" s="100" t="str">
        <f>MID(Page012[[#This Row],[Column5]],SEARCH("(",Page012[[#This Row],[Column5]])+1,SEARCH(")",Page012[[#This Row],[Column5]])-SEARCH("(",Page012[[#This Row],[Column5]])-1)</f>
        <v>8.74</v>
      </c>
      <c r="B250" s="68" t="s">
        <v>441</v>
      </c>
      <c r="C250" s="68" t="s">
        <v>292</v>
      </c>
      <c r="D250" s="68" t="s">
        <v>292</v>
      </c>
      <c r="E250" s="68" t="s">
        <v>442</v>
      </c>
      <c r="F250" s="68" t="s">
        <v>367</v>
      </c>
      <c r="G250" s="68">
        <v>74.760000000000005</v>
      </c>
      <c r="H250" s="100" t="str">
        <f>MID(Page012[[#This Row],[Column4]],SEARCH("(",Page012[[#This Row],[Column4]])+1,SEARCH(")",Page012[[#This Row],[Column4]])-SEARCH("(",Page012[[#This Row],[Column4]])-1)</f>
        <v>355.6</v>
      </c>
      <c r="I250" s="68">
        <v>355.6</v>
      </c>
      <c r="J250" s="68">
        <f t="shared" si="13"/>
        <v>0</v>
      </c>
      <c r="K250" s="68">
        <f t="shared" si="12"/>
        <v>0</v>
      </c>
      <c r="L250" s="100">
        <f t="shared" si="14"/>
        <v>-0.42486133646629831</v>
      </c>
      <c r="M250" s="68">
        <f t="shared" si="15"/>
        <v>10</v>
      </c>
    </row>
    <row r="251" spans="1:13">
      <c r="A251" s="100" t="str">
        <f>MID(Page012[[#This Row],[Column5]],SEARCH("(",Page012[[#This Row],[Column5]])+1,SEARCH(")",Page012[[#This Row],[Column5]])-SEARCH("(",Page012[[#This Row],[Column5]])-1)</f>
        <v>9.53</v>
      </c>
      <c r="B251" s="68" t="s">
        <v>441</v>
      </c>
      <c r="C251" s="68" t="s">
        <v>300</v>
      </c>
      <c r="D251" s="68" t="s">
        <v>297</v>
      </c>
      <c r="E251" s="68" t="s">
        <v>442</v>
      </c>
      <c r="F251" s="68" t="s">
        <v>376</v>
      </c>
      <c r="G251" s="68">
        <v>81.33</v>
      </c>
      <c r="H251" s="100" t="str">
        <f>MID(Page012[[#This Row],[Column4]],SEARCH("(",Page012[[#This Row],[Column4]])+1,SEARCH(")",Page012[[#This Row],[Column4]])-SEARCH("(",Page012[[#This Row],[Column4]])-1)</f>
        <v>355.6</v>
      </c>
      <c r="I251" s="68">
        <v>355.6</v>
      </c>
      <c r="J251" s="68">
        <f t="shared" si="13"/>
        <v>0</v>
      </c>
      <c r="K251" s="68">
        <f t="shared" si="12"/>
        <v>0</v>
      </c>
      <c r="L251" s="100">
        <f t="shared" si="14"/>
        <v>-0.42486133646629831</v>
      </c>
      <c r="M251" s="68">
        <f t="shared" si="15"/>
        <v>10</v>
      </c>
    </row>
    <row r="252" spans="1:13">
      <c r="A252" s="100" t="str">
        <f>MID(Page012[[#This Row],[Column5]],SEARCH("(",Page012[[#This Row],[Column5]])+1,SEARCH(")",Page012[[#This Row],[Column5]])-SEARCH("(",Page012[[#This Row],[Column5]])-1)</f>
        <v>10.31</v>
      </c>
      <c r="B252" s="68" t="s">
        <v>441</v>
      </c>
      <c r="C252" s="68" t="s">
        <v>292</v>
      </c>
      <c r="D252" s="68" t="s">
        <v>292</v>
      </c>
      <c r="E252" s="68" t="s">
        <v>442</v>
      </c>
      <c r="F252" s="68" t="s">
        <v>417</v>
      </c>
      <c r="G252" s="68">
        <v>87.79</v>
      </c>
      <c r="H252" s="100" t="str">
        <f>MID(Page012[[#This Row],[Column4]],SEARCH("(",Page012[[#This Row],[Column4]])+1,SEARCH(")",Page012[[#This Row],[Column4]])-SEARCH("(",Page012[[#This Row],[Column4]])-1)</f>
        <v>355.6</v>
      </c>
      <c r="I252" s="68">
        <v>355.6</v>
      </c>
      <c r="J252" s="68">
        <f t="shared" si="13"/>
        <v>0</v>
      </c>
      <c r="K252" s="68">
        <f t="shared" si="12"/>
        <v>0</v>
      </c>
      <c r="L252" s="100">
        <f t="shared" si="14"/>
        <v>-0.42486133646629831</v>
      </c>
      <c r="M252" s="68">
        <f t="shared" si="15"/>
        <v>10</v>
      </c>
    </row>
    <row r="253" spans="1:13">
      <c r="A253" s="100" t="str">
        <f>MID(Page012[[#This Row],[Column5]],SEARCH("(",Page012[[#This Row],[Column5]])+1,SEARCH(")",Page012[[#This Row],[Column5]])-SEARCH("(",Page012[[#This Row],[Column5]])-1)</f>
        <v>11.13</v>
      </c>
      <c r="B253" s="68" t="s">
        <v>441</v>
      </c>
      <c r="C253" s="68" t="s">
        <v>292</v>
      </c>
      <c r="D253" s="68" t="s">
        <v>301</v>
      </c>
      <c r="E253" s="68" t="s">
        <v>442</v>
      </c>
      <c r="F253" s="68" t="s">
        <v>381</v>
      </c>
      <c r="G253" s="68">
        <v>94.55</v>
      </c>
      <c r="H253" s="100" t="str">
        <f>MID(Page012[[#This Row],[Column4]],SEARCH("(",Page012[[#This Row],[Column4]])+1,SEARCH(")",Page012[[#This Row],[Column4]])-SEARCH("(",Page012[[#This Row],[Column4]])-1)</f>
        <v>355.6</v>
      </c>
      <c r="I253" s="68">
        <v>355.6</v>
      </c>
      <c r="J253" s="68">
        <f t="shared" si="13"/>
        <v>0</v>
      </c>
      <c r="K253" s="68">
        <f t="shared" si="12"/>
        <v>0</v>
      </c>
      <c r="L253" s="100">
        <f t="shared" si="14"/>
        <v>-0.42486133646629831</v>
      </c>
      <c r="M253" s="68">
        <f t="shared" si="15"/>
        <v>10</v>
      </c>
    </row>
    <row r="254" spans="1:13">
      <c r="A254" s="100" t="str">
        <f>MID(Page012[[#This Row],[Column5]],SEARCH("(",Page012[[#This Row],[Column5]])+1,SEARCH(")",Page012[[#This Row],[Column5]])-SEARCH("(",Page012[[#This Row],[Column5]])-1)</f>
        <v>11.91</v>
      </c>
      <c r="B254" s="68" t="s">
        <v>441</v>
      </c>
      <c r="C254" s="68" t="s">
        <v>292</v>
      </c>
      <c r="D254" s="68" t="s">
        <v>292</v>
      </c>
      <c r="E254" s="68" t="s">
        <v>442</v>
      </c>
      <c r="F254" s="68" t="s">
        <v>444</v>
      </c>
      <c r="G254" s="68">
        <v>100.95</v>
      </c>
      <c r="H254" s="100" t="str">
        <f>MID(Page012[[#This Row],[Column4]],SEARCH("(",Page012[[#This Row],[Column4]])+1,SEARCH(")",Page012[[#This Row],[Column4]])-SEARCH("(",Page012[[#This Row],[Column4]])-1)</f>
        <v>355.6</v>
      </c>
      <c r="I254" s="68">
        <v>355.6</v>
      </c>
      <c r="J254" s="68">
        <f t="shared" si="13"/>
        <v>0</v>
      </c>
      <c r="K254" s="68">
        <f t="shared" si="12"/>
        <v>0</v>
      </c>
      <c r="L254" s="100">
        <f t="shared" si="14"/>
        <v>-0.42486133646629831</v>
      </c>
      <c r="M254" s="68">
        <f t="shared" si="15"/>
        <v>10</v>
      </c>
    </row>
    <row r="255" spans="1:13">
      <c r="A255" s="100" t="str">
        <f>MID(Page012[[#This Row],[Column5]],SEARCH("(",Page012[[#This Row],[Column5]])+1,SEARCH(")",Page012[[#This Row],[Column5]])-SEARCH("(",Page012[[#This Row],[Column5]])-1)</f>
        <v>12.70</v>
      </c>
      <c r="B255" s="68" t="s">
        <v>441</v>
      </c>
      <c r="C255" s="68" t="s">
        <v>303</v>
      </c>
      <c r="D255" s="68" t="s">
        <v>292</v>
      </c>
      <c r="E255" s="68" t="s">
        <v>442</v>
      </c>
      <c r="F255" s="68" t="s">
        <v>399</v>
      </c>
      <c r="G255" s="68">
        <v>107.4</v>
      </c>
      <c r="H255" s="100" t="str">
        <f>MID(Page012[[#This Row],[Column4]],SEARCH("(",Page012[[#This Row],[Column4]])+1,SEARCH(")",Page012[[#This Row],[Column4]])-SEARCH("(",Page012[[#This Row],[Column4]])-1)</f>
        <v>355.6</v>
      </c>
      <c r="I255" s="68">
        <v>355.6</v>
      </c>
      <c r="J255" s="68">
        <f t="shared" si="13"/>
        <v>0</v>
      </c>
      <c r="K255" s="68">
        <f t="shared" si="12"/>
        <v>0</v>
      </c>
      <c r="L255" s="100">
        <f t="shared" si="14"/>
        <v>-0.42486133646629831</v>
      </c>
      <c r="M255" s="68">
        <f t="shared" si="15"/>
        <v>10</v>
      </c>
    </row>
    <row r="256" spans="1:13">
      <c r="A256" s="100" t="str">
        <f>MID(Page012[[#This Row],[Column5]],SEARCH("(",Page012[[#This Row],[Column5]])+1,SEARCH(")",Page012[[#This Row],[Column5]])-SEARCH("(",Page012[[#This Row],[Column5]])-1)</f>
        <v>14.27</v>
      </c>
      <c r="B256" s="68" t="s">
        <v>441</v>
      </c>
      <c r="C256" s="68" t="s">
        <v>292</v>
      </c>
      <c r="D256" s="68" t="s">
        <v>292</v>
      </c>
      <c r="E256" s="68" t="s">
        <v>442</v>
      </c>
      <c r="F256" s="68" t="s">
        <v>406</v>
      </c>
      <c r="G256" s="68">
        <v>120.12</v>
      </c>
      <c r="H256" s="100" t="str">
        <f>MID(Page012[[#This Row],[Column4]],SEARCH("(",Page012[[#This Row],[Column4]])+1,SEARCH(")",Page012[[#This Row],[Column4]])-SEARCH("(",Page012[[#This Row],[Column4]])-1)</f>
        <v>355.6</v>
      </c>
      <c r="I256" s="68">
        <v>355.6</v>
      </c>
      <c r="J256" s="68">
        <f t="shared" si="13"/>
        <v>0</v>
      </c>
      <c r="K256" s="68">
        <f t="shared" si="12"/>
        <v>0</v>
      </c>
      <c r="L256" s="100">
        <f t="shared" si="14"/>
        <v>-0.42486133646629831</v>
      </c>
      <c r="M256" s="68">
        <f t="shared" si="15"/>
        <v>10</v>
      </c>
    </row>
    <row r="257" spans="1:13">
      <c r="A257" s="100" t="str">
        <f>MID(Page012[[#This Row],[Column5]],SEARCH("(",Page012[[#This Row],[Column5]])+1,SEARCH(")",Page012[[#This Row],[Column5]])-SEARCH("(",Page012[[#This Row],[Column5]])-1)</f>
        <v>15.09</v>
      </c>
      <c r="B257" s="68" t="s">
        <v>441</v>
      </c>
      <c r="C257" s="68" t="s">
        <v>292</v>
      </c>
      <c r="D257" s="68" t="s">
        <v>416</v>
      </c>
      <c r="E257" s="68" t="s">
        <v>442</v>
      </c>
      <c r="F257" s="68" t="s">
        <v>419</v>
      </c>
      <c r="G257" s="68">
        <v>126.72</v>
      </c>
      <c r="H257" s="100" t="str">
        <f>MID(Page012[[#This Row],[Column4]],SEARCH("(",Page012[[#This Row],[Column4]])+1,SEARCH(")",Page012[[#This Row],[Column4]])-SEARCH("(",Page012[[#This Row],[Column4]])-1)</f>
        <v>355.6</v>
      </c>
      <c r="I257" s="68">
        <v>355.6</v>
      </c>
      <c r="J257" s="68">
        <f t="shared" si="13"/>
        <v>0</v>
      </c>
      <c r="K257" s="68">
        <f t="shared" si="12"/>
        <v>0</v>
      </c>
      <c r="L257" s="100">
        <f t="shared" si="14"/>
        <v>-0.42486133646629831</v>
      </c>
      <c r="M257" s="68">
        <f t="shared" si="15"/>
        <v>10</v>
      </c>
    </row>
    <row r="258" spans="1:13">
      <c r="A258" s="100" t="str">
        <f>MID(Page012[[#This Row],[Column5]],SEARCH("(",Page012[[#This Row],[Column5]])+1,SEARCH(")",Page012[[#This Row],[Column5]])-SEARCH("(",Page012[[#This Row],[Column5]])-1)</f>
        <v>15.88</v>
      </c>
      <c r="B258" s="68" t="s">
        <v>441</v>
      </c>
      <c r="C258" s="68" t="s">
        <v>292</v>
      </c>
      <c r="D258" s="68" t="s">
        <v>292</v>
      </c>
      <c r="E258" s="68" t="s">
        <v>442</v>
      </c>
      <c r="F258" s="68" t="s">
        <v>400</v>
      </c>
      <c r="G258" s="68">
        <v>133.04</v>
      </c>
      <c r="H258" s="100" t="str">
        <f>MID(Page012[[#This Row],[Column4]],SEARCH("(",Page012[[#This Row],[Column4]])+1,SEARCH(")",Page012[[#This Row],[Column4]])-SEARCH("(",Page012[[#This Row],[Column4]])-1)</f>
        <v>355.6</v>
      </c>
      <c r="I258" s="68">
        <v>355.6</v>
      </c>
      <c r="J258" s="68">
        <f t="shared" si="13"/>
        <v>0</v>
      </c>
      <c r="K258" s="68">
        <f t="shared" ref="K258:K321" si="16">IF(IF(I258&gt;=$Q$3,I258,$Q$2+10)&lt;=$Q$2,A258,0)</f>
        <v>0</v>
      </c>
      <c r="L258" s="100">
        <f t="shared" si="14"/>
        <v>-0.42486133646629831</v>
      </c>
      <c r="M258" s="68">
        <f t="shared" si="15"/>
        <v>10</v>
      </c>
    </row>
    <row r="259" spans="1:13">
      <c r="A259" s="100" t="str">
        <f>MID(Page012[[#This Row],[Column5]],SEARCH("(",Page012[[#This Row],[Column5]])+1,SEARCH(")",Page012[[#This Row],[Column5]])-SEARCH("(",Page012[[#This Row],[Column5]])-1)</f>
        <v>17.48</v>
      </c>
      <c r="B259" s="68" t="s">
        <v>441</v>
      </c>
      <c r="C259" s="68" t="s">
        <v>292</v>
      </c>
      <c r="D259" s="68" t="s">
        <v>292</v>
      </c>
      <c r="E259" s="68" t="s">
        <v>442</v>
      </c>
      <c r="F259" s="68" t="s">
        <v>438</v>
      </c>
      <c r="G259" s="68">
        <v>145.76</v>
      </c>
      <c r="H259" s="100" t="str">
        <f>MID(Page012[[#This Row],[Column4]],SEARCH("(",Page012[[#This Row],[Column4]])+1,SEARCH(")",Page012[[#This Row],[Column4]])-SEARCH("(",Page012[[#This Row],[Column4]])-1)</f>
        <v>355.6</v>
      </c>
      <c r="I259" s="68">
        <v>355.6</v>
      </c>
      <c r="J259" s="68">
        <f t="shared" ref="J259:J322" si="17">IF(IF(I259&gt;=$Q$3,I259,$Q$2+10)&lt;=$Q$2,I259,0)</f>
        <v>0</v>
      </c>
      <c r="K259" s="68">
        <f t="shared" si="16"/>
        <v>0</v>
      </c>
      <c r="L259" s="100">
        <f t="shared" ref="L259:L322" si="18">K259-$Q$1</f>
        <v>-0.42486133646629831</v>
      </c>
      <c r="M259" s="68">
        <f t="shared" si="15"/>
        <v>10</v>
      </c>
    </row>
    <row r="260" spans="1:13">
      <c r="A260" s="100" t="str">
        <f>MID(Page012[[#This Row],[Column5]],SEARCH("(",Page012[[#This Row],[Column5]])+1,SEARCH(")",Page012[[#This Row],[Column5]])-SEARCH("(",Page012[[#This Row],[Column5]])-1)</f>
        <v>19.05</v>
      </c>
      <c r="B260" s="68" t="s">
        <v>441</v>
      </c>
      <c r="C260" s="68" t="s">
        <v>292</v>
      </c>
      <c r="D260" s="68" t="s">
        <v>304</v>
      </c>
      <c r="E260" s="68" t="s">
        <v>442</v>
      </c>
      <c r="F260" s="68" t="s">
        <v>401</v>
      </c>
      <c r="G260" s="68">
        <v>158.11000000000001</v>
      </c>
      <c r="H260" s="100" t="str">
        <f>MID(Page012[[#This Row],[Column4]],SEARCH("(",Page012[[#This Row],[Column4]])+1,SEARCH(")",Page012[[#This Row],[Column4]])-SEARCH("(",Page012[[#This Row],[Column4]])-1)</f>
        <v>355.6</v>
      </c>
      <c r="I260" s="68">
        <v>355.6</v>
      </c>
      <c r="J260" s="68">
        <f t="shared" si="17"/>
        <v>0</v>
      </c>
      <c r="K260" s="68">
        <f t="shared" si="16"/>
        <v>0</v>
      </c>
      <c r="L260" s="100">
        <f t="shared" si="18"/>
        <v>-0.42486133646629831</v>
      </c>
      <c r="M260" s="68">
        <f t="shared" ref="M260:M323" si="19">IF(L260&lt;0,10,L260)</f>
        <v>10</v>
      </c>
    </row>
    <row r="261" spans="1:13">
      <c r="A261" s="100" t="str">
        <f>MID(Page012[[#This Row],[Column5]],SEARCH("(",Page012[[#This Row],[Column5]])+1,SEARCH(")",Page012[[#This Row],[Column5]])-SEARCH("(",Page012[[#This Row],[Column5]])-1)</f>
        <v>20.62</v>
      </c>
      <c r="B261" s="68" t="s">
        <v>441</v>
      </c>
      <c r="C261" s="68" t="s">
        <v>292</v>
      </c>
      <c r="D261" s="68" t="s">
        <v>292</v>
      </c>
      <c r="E261" s="68" t="s">
        <v>442</v>
      </c>
      <c r="F261" s="68" t="s">
        <v>421</v>
      </c>
      <c r="G261" s="68">
        <v>170.34</v>
      </c>
      <c r="H261" s="100" t="str">
        <f>MID(Page012[[#This Row],[Column4]],SEARCH("(",Page012[[#This Row],[Column4]])+1,SEARCH(")",Page012[[#This Row],[Column4]])-SEARCH("(",Page012[[#This Row],[Column4]])-1)</f>
        <v>355.6</v>
      </c>
      <c r="I261" s="68">
        <v>355.6</v>
      </c>
      <c r="J261" s="68">
        <f t="shared" si="17"/>
        <v>0</v>
      </c>
      <c r="K261" s="68">
        <f t="shared" si="16"/>
        <v>0</v>
      </c>
      <c r="L261" s="100">
        <f t="shared" si="18"/>
        <v>-0.42486133646629831</v>
      </c>
      <c r="M261" s="68">
        <f t="shared" si="19"/>
        <v>10</v>
      </c>
    </row>
    <row r="262" spans="1:13">
      <c r="A262" s="100" t="str">
        <f>MID(Page012[[#This Row],[Column5]],SEARCH("(",Page012[[#This Row],[Column5]])+1,SEARCH(")",Page012[[#This Row],[Column5]])-SEARCH("(",Page012[[#This Row],[Column5]])-1)</f>
        <v>22.23</v>
      </c>
      <c r="B262" s="68" t="s">
        <v>441</v>
      </c>
      <c r="C262" s="68" t="s">
        <v>292</v>
      </c>
      <c r="D262" s="68" t="s">
        <v>292</v>
      </c>
      <c r="E262" s="68" t="s">
        <v>442</v>
      </c>
      <c r="F262" s="68" t="s">
        <v>409</v>
      </c>
      <c r="G262" s="68">
        <v>182.76</v>
      </c>
      <c r="H262" s="100" t="str">
        <f>MID(Page012[[#This Row],[Column4]],SEARCH("(",Page012[[#This Row],[Column4]])+1,SEARCH(")",Page012[[#This Row],[Column4]])-SEARCH("(",Page012[[#This Row],[Column4]])-1)</f>
        <v>355.6</v>
      </c>
      <c r="I262" s="68">
        <v>355.6</v>
      </c>
      <c r="J262" s="68">
        <f t="shared" si="17"/>
        <v>0</v>
      </c>
      <c r="K262" s="68">
        <f t="shared" si="16"/>
        <v>0</v>
      </c>
      <c r="L262" s="100">
        <f t="shared" si="18"/>
        <v>-0.42486133646629831</v>
      </c>
      <c r="M262" s="68">
        <f t="shared" si="19"/>
        <v>10</v>
      </c>
    </row>
    <row r="263" spans="1:13">
      <c r="A263" s="100" t="str">
        <f>MID(Page012[[#This Row],[Column5]],SEARCH("(",Page012[[#This Row],[Column5]])+1,SEARCH(")",Page012[[#This Row],[Column5]])-SEARCH("(",Page012[[#This Row],[Column5]])-1)</f>
        <v>23.83</v>
      </c>
      <c r="B263" s="68" t="s">
        <v>441</v>
      </c>
      <c r="C263" s="68" t="s">
        <v>292</v>
      </c>
      <c r="D263" s="68" t="s">
        <v>418</v>
      </c>
      <c r="E263" s="68" t="s">
        <v>442</v>
      </c>
      <c r="F263" s="68" t="s">
        <v>431</v>
      </c>
      <c r="G263" s="68">
        <v>194.98</v>
      </c>
      <c r="H263" s="100" t="str">
        <f>MID(Page012[[#This Row],[Column4]],SEARCH("(",Page012[[#This Row],[Column4]])+1,SEARCH(")",Page012[[#This Row],[Column4]])-SEARCH("(",Page012[[#This Row],[Column4]])-1)</f>
        <v>355.6</v>
      </c>
      <c r="I263" s="68">
        <v>355.6</v>
      </c>
      <c r="J263" s="68">
        <f t="shared" si="17"/>
        <v>0</v>
      </c>
      <c r="K263" s="68">
        <f t="shared" si="16"/>
        <v>0</v>
      </c>
      <c r="L263" s="100">
        <f t="shared" si="18"/>
        <v>-0.42486133646629831</v>
      </c>
      <c r="M263" s="68">
        <f t="shared" si="19"/>
        <v>10</v>
      </c>
    </row>
    <row r="264" spans="1:13">
      <c r="A264" s="100" t="str">
        <f>MID(Page012[[#This Row],[Column5]],SEARCH("(",Page012[[#This Row],[Column5]])+1,SEARCH(")",Page012[[#This Row],[Column5]])-SEARCH("(",Page012[[#This Row],[Column5]])-1)</f>
        <v>25.40</v>
      </c>
      <c r="B264" s="68" t="s">
        <v>441</v>
      </c>
      <c r="C264" s="68" t="s">
        <v>292</v>
      </c>
      <c r="D264" s="68" t="s">
        <v>292</v>
      </c>
      <c r="E264" s="68" t="s">
        <v>442</v>
      </c>
      <c r="F264" s="68" t="s">
        <v>423</v>
      </c>
      <c r="G264" s="68">
        <v>204.54</v>
      </c>
      <c r="H264" s="100" t="str">
        <f>MID(Page012[[#This Row],[Column4]],SEARCH("(",Page012[[#This Row],[Column4]])+1,SEARCH(")",Page012[[#This Row],[Column4]])-SEARCH("(",Page012[[#This Row],[Column4]])-1)</f>
        <v>355.6</v>
      </c>
      <c r="I264" s="68">
        <v>355.6</v>
      </c>
      <c r="J264" s="68">
        <f t="shared" si="17"/>
        <v>0</v>
      </c>
      <c r="K264" s="68">
        <f t="shared" si="16"/>
        <v>0</v>
      </c>
      <c r="L264" s="100">
        <f t="shared" si="18"/>
        <v>-0.42486133646629831</v>
      </c>
      <c r="M264" s="68">
        <f t="shared" si="19"/>
        <v>10</v>
      </c>
    </row>
    <row r="265" spans="1:13">
      <c r="A265" s="100" t="str">
        <f>MID(Page012[[#This Row],[Column5]],SEARCH("(",Page012[[#This Row],[Column5]])+1,SEARCH(")",Page012[[#This Row],[Column5]])-SEARCH("(",Page012[[#This Row],[Column5]])-1)</f>
        <v>26.97</v>
      </c>
      <c r="B265" s="68" t="s">
        <v>441</v>
      </c>
      <c r="C265" s="68" t="s">
        <v>292</v>
      </c>
      <c r="D265" s="68" t="s">
        <v>292</v>
      </c>
      <c r="E265" s="68" t="s">
        <v>442</v>
      </c>
      <c r="F265" s="68" t="s">
        <v>439</v>
      </c>
      <c r="G265" s="68">
        <v>218.58</v>
      </c>
      <c r="H265" s="100" t="str">
        <f>MID(Page012[[#This Row],[Column4]],SEARCH("(",Page012[[#This Row],[Column4]])+1,SEARCH(")",Page012[[#This Row],[Column4]])-SEARCH("(",Page012[[#This Row],[Column4]])-1)</f>
        <v>355.6</v>
      </c>
      <c r="I265" s="68">
        <v>355.6</v>
      </c>
      <c r="J265" s="68">
        <f t="shared" si="17"/>
        <v>0</v>
      </c>
      <c r="K265" s="68">
        <f t="shared" si="16"/>
        <v>0</v>
      </c>
      <c r="L265" s="100">
        <f t="shared" si="18"/>
        <v>-0.42486133646629831</v>
      </c>
      <c r="M265" s="68">
        <f t="shared" si="19"/>
        <v>10</v>
      </c>
    </row>
    <row r="266" spans="1:13">
      <c r="A266" s="100" t="str">
        <f>MID(Page012[[#This Row],[Column5]],SEARCH("(",Page012[[#This Row],[Column5]])+1,SEARCH(")",Page012[[#This Row],[Column5]])-SEARCH("(",Page012[[#This Row],[Column5]])-1)</f>
        <v>27.79</v>
      </c>
      <c r="B266" s="68" t="s">
        <v>441</v>
      </c>
      <c r="C266" s="68" t="s">
        <v>292</v>
      </c>
      <c r="D266" s="68" t="s">
        <v>392</v>
      </c>
      <c r="E266" s="68" t="s">
        <v>442</v>
      </c>
      <c r="F266" s="68" t="s">
        <v>445</v>
      </c>
      <c r="G266" s="68">
        <v>224.64</v>
      </c>
      <c r="H266" s="100" t="str">
        <f>MID(Page012[[#This Row],[Column4]],SEARCH("(",Page012[[#This Row],[Column4]])+1,SEARCH(")",Page012[[#This Row],[Column4]])-SEARCH("(",Page012[[#This Row],[Column4]])-1)</f>
        <v>355.6</v>
      </c>
      <c r="I266" s="68">
        <v>355.6</v>
      </c>
      <c r="J266" s="68">
        <f t="shared" si="17"/>
        <v>0</v>
      </c>
      <c r="K266" s="68">
        <f t="shared" si="16"/>
        <v>0</v>
      </c>
      <c r="L266" s="100">
        <f t="shared" si="18"/>
        <v>-0.42486133646629831</v>
      </c>
      <c r="M266" s="68">
        <f t="shared" si="19"/>
        <v>10</v>
      </c>
    </row>
    <row r="267" spans="1:13">
      <c r="A267" s="100" t="str">
        <f>MID(Page012[[#This Row],[Column5]],SEARCH("(",Page012[[#This Row],[Column5]])+1,SEARCH(")",Page012[[#This Row],[Column5]])-SEARCH("(",Page012[[#This Row],[Column5]])-1)</f>
        <v>28.58</v>
      </c>
      <c r="B267" s="68" t="s">
        <v>441</v>
      </c>
      <c r="C267" s="68" t="s">
        <v>292</v>
      </c>
      <c r="D267" s="68" t="s">
        <v>292</v>
      </c>
      <c r="E267" s="68" t="s">
        <v>442</v>
      </c>
      <c r="F267" s="68" t="s">
        <v>432</v>
      </c>
      <c r="G267" s="68">
        <v>230.49</v>
      </c>
      <c r="H267" s="100" t="str">
        <f>MID(Page012[[#This Row],[Column4]],SEARCH("(",Page012[[#This Row],[Column4]])+1,SEARCH(")",Page012[[#This Row],[Column4]])-SEARCH("(",Page012[[#This Row],[Column4]])-1)</f>
        <v>355.6</v>
      </c>
      <c r="I267" s="68">
        <v>355.6</v>
      </c>
      <c r="J267" s="68">
        <f t="shared" si="17"/>
        <v>0</v>
      </c>
      <c r="K267" s="68">
        <f t="shared" si="16"/>
        <v>0</v>
      </c>
      <c r="L267" s="100">
        <f t="shared" si="18"/>
        <v>-0.42486133646629831</v>
      </c>
      <c r="M267" s="68">
        <f t="shared" si="19"/>
        <v>10</v>
      </c>
    </row>
    <row r="268" spans="1:13">
      <c r="A268" s="100" t="str">
        <f>MID(Page012[[#This Row],[Column5]],SEARCH("(",Page012[[#This Row],[Column5]])+1,SEARCH(")",Page012[[#This Row],[Column5]])-SEARCH("(",Page012[[#This Row],[Column5]])-1)</f>
        <v>31.75</v>
      </c>
      <c r="B268" s="68" t="s">
        <v>441</v>
      </c>
      <c r="C268" s="68" t="s">
        <v>292</v>
      </c>
      <c r="D268" s="68" t="s">
        <v>420</v>
      </c>
      <c r="E268" s="68" t="s">
        <v>442</v>
      </c>
      <c r="F268" s="68" t="s">
        <v>433</v>
      </c>
      <c r="G268" s="68">
        <v>253.58</v>
      </c>
      <c r="H268" s="100" t="str">
        <f>MID(Page012[[#This Row],[Column4]],SEARCH("(",Page012[[#This Row],[Column4]])+1,SEARCH(")",Page012[[#This Row],[Column4]])-SEARCH("(",Page012[[#This Row],[Column4]])-1)</f>
        <v>355.6</v>
      </c>
      <c r="I268" s="68">
        <v>355.6</v>
      </c>
      <c r="J268" s="68">
        <f t="shared" si="17"/>
        <v>0</v>
      </c>
      <c r="K268" s="68">
        <f t="shared" si="16"/>
        <v>0</v>
      </c>
      <c r="L268" s="100">
        <f t="shared" si="18"/>
        <v>-0.42486133646629831</v>
      </c>
      <c r="M268" s="68">
        <f t="shared" si="19"/>
        <v>10</v>
      </c>
    </row>
    <row r="269" spans="1:13">
      <c r="A269" s="100" t="str">
        <f>MID(Page012[[#This Row],[Column5]],SEARCH("(",Page012[[#This Row],[Column5]])+1,SEARCH(")",Page012[[#This Row],[Column5]])-SEARCH("(",Page012[[#This Row],[Column5]])-1)</f>
        <v>35.71</v>
      </c>
      <c r="B269" s="68" t="s">
        <v>441</v>
      </c>
      <c r="C269" s="68" t="s">
        <v>292</v>
      </c>
      <c r="D269" s="68" t="s">
        <v>306</v>
      </c>
      <c r="E269" s="68" t="s">
        <v>442</v>
      </c>
      <c r="F269" s="68" t="s">
        <v>446</v>
      </c>
      <c r="G269" s="68">
        <v>281.72000000000003</v>
      </c>
      <c r="H269" s="100" t="str">
        <f>MID(Page012[[#This Row],[Column4]],SEARCH("(",Page012[[#This Row],[Column4]])+1,SEARCH(")",Page012[[#This Row],[Column4]])-SEARCH("(",Page012[[#This Row],[Column4]])-1)</f>
        <v>355.6</v>
      </c>
      <c r="I269" s="68">
        <v>355.6</v>
      </c>
      <c r="J269" s="68">
        <f t="shared" si="17"/>
        <v>0</v>
      </c>
      <c r="K269" s="68">
        <f t="shared" si="16"/>
        <v>0</v>
      </c>
      <c r="L269" s="100">
        <f t="shared" si="18"/>
        <v>-0.42486133646629831</v>
      </c>
      <c r="M269" s="68">
        <f t="shared" si="19"/>
        <v>10</v>
      </c>
    </row>
    <row r="270" spans="1:13">
      <c r="A270" s="100" t="str">
        <f>MID(Page012[[#This Row],[Column5]],SEARCH("(",Page012[[#This Row],[Column5]])+1,SEARCH(")",Page012[[#This Row],[Column5]])-SEARCH("(",Page012[[#This Row],[Column5]])-1)</f>
        <v>50.80</v>
      </c>
      <c r="B270" s="68" t="s">
        <v>441</v>
      </c>
      <c r="C270" s="68" t="s">
        <v>292</v>
      </c>
      <c r="D270" s="68" t="s">
        <v>292</v>
      </c>
      <c r="E270" s="68" t="s">
        <v>442</v>
      </c>
      <c r="F270" s="68" t="s">
        <v>447</v>
      </c>
      <c r="G270" s="68">
        <v>381.85</v>
      </c>
      <c r="H270" s="100" t="str">
        <f>MID(Page012[[#This Row],[Column4]],SEARCH("(",Page012[[#This Row],[Column4]])+1,SEARCH(")",Page012[[#This Row],[Column4]])-SEARCH("(",Page012[[#This Row],[Column4]])-1)</f>
        <v>355.6</v>
      </c>
      <c r="I270" s="68">
        <v>355.6</v>
      </c>
      <c r="J270" s="68">
        <f t="shared" si="17"/>
        <v>0</v>
      </c>
      <c r="K270" s="68">
        <f t="shared" si="16"/>
        <v>0</v>
      </c>
      <c r="L270" s="100">
        <f t="shared" si="18"/>
        <v>-0.42486133646629831</v>
      </c>
      <c r="M270" s="68">
        <f t="shared" si="19"/>
        <v>10</v>
      </c>
    </row>
    <row r="271" spans="1:13">
      <c r="A271" s="100" t="str">
        <f>MID(Page012[[#This Row],[Column5]],SEARCH("(",Page012[[#This Row],[Column5]])+1,SEARCH(")",Page012[[#This Row],[Column5]])-SEARCH("(",Page012[[#This Row],[Column5]])-1)</f>
        <v>53.98</v>
      </c>
      <c r="B271" s="68" t="s">
        <v>441</v>
      </c>
      <c r="C271" s="68" t="s">
        <v>292</v>
      </c>
      <c r="D271" s="68" t="s">
        <v>292</v>
      </c>
      <c r="E271" s="68" t="s">
        <v>442</v>
      </c>
      <c r="F271" s="68" t="s">
        <v>448</v>
      </c>
      <c r="G271" s="68">
        <v>401.52</v>
      </c>
      <c r="H271" s="100" t="str">
        <f>MID(Page012[[#This Row],[Column4]],SEARCH("(",Page012[[#This Row],[Column4]])+1,SEARCH(")",Page012[[#This Row],[Column4]])-SEARCH("(",Page012[[#This Row],[Column4]])-1)</f>
        <v>355.6</v>
      </c>
      <c r="I271" s="68">
        <v>355.6</v>
      </c>
      <c r="J271" s="68">
        <f t="shared" si="17"/>
        <v>0</v>
      </c>
      <c r="K271" s="68">
        <f t="shared" si="16"/>
        <v>0</v>
      </c>
      <c r="L271" s="100">
        <f t="shared" si="18"/>
        <v>-0.42486133646629831</v>
      </c>
      <c r="M271" s="68">
        <f t="shared" si="19"/>
        <v>10</v>
      </c>
    </row>
    <row r="272" spans="1:13">
      <c r="A272" s="100" t="str">
        <f>MID(Page012[[#This Row],[Column5]],SEARCH("(",Page012[[#This Row],[Column5]])+1,SEARCH(")",Page012[[#This Row],[Column5]])-SEARCH("(",Page012[[#This Row],[Column5]])-1)</f>
        <v>55.88</v>
      </c>
      <c r="B272" s="68" t="s">
        <v>441</v>
      </c>
      <c r="C272" s="68" t="s">
        <v>292</v>
      </c>
      <c r="D272" s="68" t="s">
        <v>292</v>
      </c>
      <c r="E272" s="68" t="s">
        <v>442</v>
      </c>
      <c r="F272" s="68" t="s">
        <v>449</v>
      </c>
      <c r="G272" s="68">
        <v>413.04</v>
      </c>
      <c r="H272" s="100" t="str">
        <f>MID(Page012[[#This Row],[Column4]],SEARCH("(",Page012[[#This Row],[Column4]])+1,SEARCH(")",Page012[[#This Row],[Column4]])-SEARCH("(",Page012[[#This Row],[Column4]])-1)</f>
        <v>355.6</v>
      </c>
      <c r="I272" s="68">
        <v>355.6</v>
      </c>
      <c r="J272" s="68">
        <f t="shared" si="17"/>
        <v>0</v>
      </c>
      <c r="K272" s="68">
        <f t="shared" si="16"/>
        <v>0</v>
      </c>
      <c r="L272" s="100">
        <f t="shared" si="18"/>
        <v>-0.42486133646629831</v>
      </c>
      <c r="M272" s="68">
        <f t="shared" si="19"/>
        <v>10</v>
      </c>
    </row>
    <row r="273" spans="1:13">
      <c r="A273" s="100" t="str">
        <f>MID(Page012[[#This Row],[Column5]],SEARCH("(",Page012[[#This Row],[Column5]])+1,SEARCH(")",Page012[[#This Row],[Column5]])-SEARCH("(",Page012[[#This Row],[Column5]])-1)</f>
        <v>63.50</v>
      </c>
      <c r="B273" s="68" t="s">
        <v>441</v>
      </c>
      <c r="C273" s="68" t="s">
        <v>292</v>
      </c>
      <c r="D273" s="68" t="s">
        <v>292</v>
      </c>
      <c r="E273" s="68" t="s">
        <v>442</v>
      </c>
      <c r="F273" s="68" t="s">
        <v>450</v>
      </c>
      <c r="G273" s="68">
        <v>457.03</v>
      </c>
      <c r="H273" s="100" t="str">
        <f>MID(Page012[[#This Row],[Column4]],SEARCH("(",Page012[[#This Row],[Column4]])+1,SEARCH(")",Page012[[#This Row],[Column4]])-SEARCH("(",Page012[[#This Row],[Column4]])-1)</f>
        <v>355.6</v>
      </c>
      <c r="I273" s="68">
        <v>355.6</v>
      </c>
      <c r="J273" s="68">
        <f t="shared" si="17"/>
        <v>0</v>
      </c>
      <c r="K273" s="68">
        <f t="shared" si="16"/>
        <v>0</v>
      </c>
      <c r="L273" s="100">
        <f t="shared" si="18"/>
        <v>-0.42486133646629831</v>
      </c>
      <c r="M273" s="68">
        <f t="shared" si="19"/>
        <v>10</v>
      </c>
    </row>
    <row r="274" spans="1:13">
      <c r="A274" s="100" t="str">
        <f>MID(Page012[[#This Row],[Column5]],SEARCH("(",Page012[[#This Row],[Column5]])+1,SEARCH(")",Page012[[#This Row],[Column5]])-SEARCH("(",Page012[[#This Row],[Column5]])-1)</f>
        <v>4.19</v>
      </c>
      <c r="B274" s="68" t="s">
        <v>451</v>
      </c>
      <c r="C274" s="68" t="s">
        <v>292</v>
      </c>
      <c r="D274" s="68" t="s">
        <v>330</v>
      </c>
      <c r="E274" s="68" t="s">
        <v>452</v>
      </c>
      <c r="F274" s="68" t="s">
        <v>426</v>
      </c>
      <c r="G274" s="68">
        <v>41.56</v>
      </c>
      <c r="H274" s="100" t="str">
        <f>MID(Page012[[#This Row],[Column4]],SEARCH("(",Page012[[#This Row],[Column4]])+1,SEARCH(")",Page012[[#This Row],[Column4]])-SEARCH("(",Page012[[#This Row],[Column4]])-1)</f>
        <v>406.4</v>
      </c>
      <c r="I274" s="68">
        <v>406.4</v>
      </c>
      <c r="J274" s="68">
        <f t="shared" si="17"/>
        <v>0</v>
      </c>
      <c r="K274" s="68">
        <f t="shared" si="16"/>
        <v>0</v>
      </c>
      <c r="L274" s="100">
        <f t="shared" si="18"/>
        <v>-0.42486133646629831</v>
      </c>
      <c r="M274" s="68">
        <f t="shared" si="19"/>
        <v>10</v>
      </c>
    </row>
    <row r="275" spans="1:13">
      <c r="A275" s="100" t="str">
        <f>MID(Page012[[#This Row],[Column5]],SEARCH("(",Page012[[#This Row],[Column5]])+1,SEARCH(")",Page012[[#This Row],[Column5]])-SEARCH("(",Page012[[#This Row],[Column5]])-1)</f>
        <v>4.78</v>
      </c>
      <c r="B275" s="68" t="s">
        <v>451</v>
      </c>
      <c r="C275" s="68" t="s">
        <v>292</v>
      </c>
      <c r="D275" s="68" t="s">
        <v>292</v>
      </c>
      <c r="E275" s="68" t="s">
        <v>452</v>
      </c>
      <c r="F275" s="68" t="s">
        <v>335</v>
      </c>
      <c r="G275" s="68">
        <v>47.34</v>
      </c>
      <c r="H275" s="100" t="str">
        <f>MID(Page012[[#This Row],[Column4]],SEARCH("(",Page012[[#This Row],[Column4]])+1,SEARCH(")",Page012[[#This Row],[Column4]])-SEARCH("(",Page012[[#This Row],[Column4]])-1)</f>
        <v>406.4</v>
      </c>
      <c r="I275" s="68">
        <v>406.4</v>
      </c>
      <c r="J275" s="68">
        <f t="shared" si="17"/>
        <v>0</v>
      </c>
      <c r="K275" s="68">
        <f t="shared" si="16"/>
        <v>0</v>
      </c>
      <c r="L275" s="100">
        <f t="shared" si="18"/>
        <v>-0.42486133646629831</v>
      </c>
      <c r="M275" s="68">
        <f t="shared" si="19"/>
        <v>10</v>
      </c>
    </row>
    <row r="276" spans="1:13">
      <c r="A276" s="100" t="str">
        <f>MID(Page012[[#This Row],[Column5]],SEARCH("(",Page012[[#This Row],[Column5]])+1,SEARCH(")",Page012[[#This Row],[Column5]])-SEARCH("(",Page012[[#This Row],[Column5]])-1)</f>
        <v>5.16</v>
      </c>
      <c r="B276" s="68" t="s">
        <v>451</v>
      </c>
      <c r="C276" s="68" t="s">
        <v>292</v>
      </c>
      <c r="D276" s="68" t="s">
        <v>292</v>
      </c>
      <c r="E276" s="68" t="s">
        <v>452</v>
      </c>
      <c r="F276" s="68" t="s">
        <v>373</v>
      </c>
      <c r="G276" s="68">
        <v>51.06</v>
      </c>
      <c r="H276" s="100" t="str">
        <f>MID(Page012[[#This Row],[Column4]],SEARCH("(",Page012[[#This Row],[Column4]])+1,SEARCH(")",Page012[[#This Row],[Column4]])-SEARCH("(",Page012[[#This Row],[Column4]])-1)</f>
        <v>406.4</v>
      </c>
      <c r="I276" s="68">
        <v>406.4</v>
      </c>
      <c r="J276" s="68">
        <f t="shared" si="17"/>
        <v>0</v>
      </c>
      <c r="K276" s="68">
        <f t="shared" si="16"/>
        <v>0</v>
      </c>
      <c r="L276" s="100">
        <f t="shared" si="18"/>
        <v>-0.42486133646629831</v>
      </c>
      <c r="M276" s="68">
        <f t="shared" si="19"/>
        <v>10</v>
      </c>
    </row>
    <row r="277" spans="1:13">
      <c r="A277" s="100" t="str">
        <f>MID(Page012[[#This Row],[Column5]],SEARCH("(",Page012[[#This Row],[Column5]])+1,SEARCH(")",Page012[[#This Row],[Column5]])-SEARCH("(",Page012[[#This Row],[Column5]])-1)</f>
        <v>5.56</v>
      </c>
      <c r="B277" s="68" t="s">
        <v>451</v>
      </c>
      <c r="C277" s="68" t="s">
        <v>292</v>
      </c>
      <c r="D277" s="68" t="s">
        <v>292</v>
      </c>
      <c r="E277" s="68" t="s">
        <v>452</v>
      </c>
      <c r="F277" s="68" t="s">
        <v>341</v>
      </c>
      <c r="G277" s="68">
        <v>54.96</v>
      </c>
      <c r="H277" s="100" t="str">
        <f>MID(Page012[[#This Row],[Column4]],SEARCH("(",Page012[[#This Row],[Column4]])+1,SEARCH(")",Page012[[#This Row],[Column4]])-SEARCH("(",Page012[[#This Row],[Column4]])-1)</f>
        <v>406.4</v>
      </c>
      <c r="I277" s="68">
        <v>406.4</v>
      </c>
      <c r="J277" s="68">
        <f t="shared" si="17"/>
        <v>0</v>
      </c>
      <c r="K277" s="68">
        <f t="shared" si="16"/>
        <v>0</v>
      </c>
      <c r="L277" s="100">
        <f t="shared" si="18"/>
        <v>-0.42486133646629831</v>
      </c>
      <c r="M277" s="68">
        <f t="shared" si="19"/>
        <v>10</v>
      </c>
    </row>
    <row r="278" spans="1:13">
      <c r="A278" s="100" t="str">
        <f>MID(Page012[[#This Row],[Column5]],SEARCH("(",Page012[[#This Row],[Column5]])+1,SEARCH(")",Page012[[#This Row],[Column5]])-SEARCH("(",Page012[[#This Row],[Column5]])-1)</f>
        <v>6.35</v>
      </c>
      <c r="B278" s="68" t="s">
        <v>451</v>
      </c>
      <c r="C278" s="68" t="s">
        <v>292</v>
      </c>
      <c r="D278" s="68" t="s">
        <v>293</v>
      </c>
      <c r="E278" s="68" t="s">
        <v>452</v>
      </c>
      <c r="F278" s="68" t="s">
        <v>348</v>
      </c>
      <c r="G278" s="68">
        <v>62.65</v>
      </c>
      <c r="H278" s="100" t="str">
        <f>MID(Page012[[#This Row],[Column4]],SEARCH("(",Page012[[#This Row],[Column4]])+1,SEARCH(")",Page012[[#This Row],[Column4]])-SEARCH("(",Page012[[#This Row],[Column4]])-1)</f>
        <v>406.4</v>
      </c>
      <c r="I278" s="68">
        <v>406.4</v>
      </c>
      <c r="J278" s="68">
        <f t="shared" si="17"/>
        <v>0</v>
      </c>
      <c r="K278" s="68">
        <f t="shared" si="16"/>
        <v>0</v>
      </c>
      <c r="L278" s="100">
        <f t="shared" si="18"/>
        <v>-0.42486133646629831</v>
      </c>
      <c r="M278" s="68">
        <f t="shared" si="19"/>
        <v>10</v>
      </c>
    </row>
    <row r="279" spans="1:13">
      <c r="A279" s="100" t="str">
        <f>MID(Page012[[#This Row],[Column5]],SEARCH("(",Page012[[#This Row],[Column5]])+1,SEARCH(")",Page012[[#This Row],[Column5]])-SEARCH("(",Page012[[#This Row],[Column5]])-1)</f>
        <v>7.14</v>
      </c>
      <c r="B279" s="68" t="s">
        <v>451</v>
      </c>
      <c r="C279" s="68" t="s">
        <v>292</v>
      </c>
      <c r="D279" s="68" t="s">
        <v>292</v>
      </c>
      <c r="E279" s="68" t="s">
        <v>452</v>
      </c>
      <c r="F279" s="68" t="s">
        <v>360</v>
      </c>
      <c r="G279" s="68">
        <v>70.3</v>
      </c>
      <c r="H279" s="100" t="str">
        <f>MID(Page012[[#This Row],[Column4]],SEARCH("(",Page012[[#This Row],[Column4]])+1,SEARCH(")",Page012[[#This Row],[Column4]])-SEARCH("(",Page012[[#This Row],[Column4]])-1)</f>
        <v>406.4</v>
      </c>
      <c r="I279" s="68">
        <v>406.4</v>
      </c>
      <c r="J279" s="68">
        <f t="shared" si="17"/>
        <v>0</v>
      </c>
      <c r="K279" s="68">
        <f t="shared" si="16"/>
        <v>0</v>
      </c>
      <c r="L279" s="100">
        <f t="shared" si="18"/>
        <v>-0.42486133646629831</v>
      </c>
      <c r="M279" s="68">
        <f t="shared" si="19"/>
        <v>10</v>
      </c>
    </row>
    <row r="280" spans="1:13">
      <c r="A280" s="100" t="str">
        <f>MID(Page012[[#This Row],[Column5]],SEARCH("(",Page012[[#This Row],[Column5]])+1,SEARCH(")",Page012[[#This Row],[Column5]])-SEARCH("(",Page012[[#This Row],[Column5]])-1)</f>
        <v>7.92</v>
      </c>
      <c r="B280" s="68" t="s">
        <v>451</v>
      </c>
      <c r="C280" s="68" t="s">
        <v>292</v>
      </c>
      <c r="D280" s="68" t="s">
        <v>413</v>
      </c>
      <c r="E280" s="68" t="s">
        <v>452</v>
      </c>
      <c r="F280" s="68" t="s">
        <v>390</v>
      </c>
      <c r="G280" s="68">
        <v>77.83</v>
      </c>
      <c r="H280" s="100" t="str">
        <f>MID(Page012[[#This Row],[Column4]],SEARCH("(",Page012[[#This Row],[Column4]])+1,SEARCH(")",Page012[[#This Row],[Column4]])-SEARCH("(",Page012[[#This Row],[Column4]])-1)</f>
        <v>406.4</v>
      </c>
      <c r="I280" s="68">
        <v>406.4</v>
      </c>
      <c r="J280" s="68">
        <f t="shared" si="17"/>
        <v>0</v>
      </c>
      <c r="K280" s="68">
        <f t="shared" si="16"/>
        <v>0</v>
      </c>
      <c r="L280" s="100">
        <f t="shared" si="18"/>
        <v>-0.42486133646629831</v>
      </c>
      <c r="M280" s="68">
        <f t="shared" si="19"/>
        <v>10</v>
      </c>
    </row>
    <row r="281" spans="1:13">
      <c r="A281" s="100" t="str">
        <f>MID(Page012[[#This Row],[Column5]],SEARCH("(",Page012[[#This Row],[Column5]])+1,SEARCH(")",Page012[[#This Row],[Column5]])-SEARCH("(",Page012[[#This Row],[Column5]])-1)</f>
        <v>8.74</v>
      </c>
      <c r="B281" s="68" t="s">
        <v>451</v>
      </c>
      <c r="C281" s="68" t="s">
        <v>292</v>
      </c>
      <c r="D281" s="68" t="s">
        <v>292</v>
      </c>
      <c r="E281" s="68" t="s">
        <v>452</v>
      </c>
      <c r="F281" s="68" t="s">
        <v>367</v>
      </c>
      <c r="G281" s="68">
        <v>85.71</v>
      </c>
      <c r="H281" s="100" t="str">
        <f>MID(Page012[[#This Row],[Column4]],SEARCH("(",Page012[[#This Row],[Column4]])+1,SEARCH(")",Page012[[#This Row],[Column4]])-SEARCH("(",Page012[[#This Row],[Column4]])-1)</f>
        <v>406.4</v>
      </c>
      <c r="I281" s="68">
        <v>406.4</v>
      </c>
      <c r="J281" s="68">
        <f t="shared" si="17"/>
        <v>0</v>
      </c>
      <c r="K281" s="68">
        <f t="shared" si="16"/>
        <v>0</v>
      </c>
      <c r="L281" s="100">
        <f t="shared" si="18"/>
        <v>-0.42486133646629831</v>
      </c>
      <c r="M281" s="68">
        <f t="shared" si="19"/>
        <v>10</v>
      </c>
    </row>
    <row r="282" spans="1:13">
      <c r="A282" s="100" t="str">
        <f>MID(Page012[[#This Row],[Column5]],SEARCH("(",Page012[[#This Row],[Column5]])+1,SEARCH(")",Page012[[#This Row],[Column5]])-SEARCH("(",Page012[[#This Row],[Column5]])-1)</f>
        <v>9.53</v>
      </c>
      <c r="B282" s="68" t="s">
        <v>451</v>
      </c>
      <c r="C282" s="68" t="s">
        <v>300</v>
      </c>
      <c r="D282" s="68" t="s">
        <v>297</v>
      </c>
      <c r="E282" s="68" t="s">
        <v>452</v>
      </c>
      <c r="F282" s="68" t="s">
        <v>376</v>
      </c>
      <c r="G282" s="68">
        <v>93.17</v>
      </c>
      <c r="H282" s="100" t="str">
        <f>MID(Page012[[#This Row],[Column4]],SEARCH("(",Page012[[#This Row],[Column4]])+1,SEARCH(")",Page012[[#This Row],[Column4]])-SEARCH("(",Page012[[#This Row],[Column4]])-1)</f>
        <v>406.4</v>
      </c>
      <c r="I282" s="68">
        <v>406.4</v>
      </c>
      <c r="J282" s="68">
        <f t="shared" si="17"/>
        <v>0</v>
      </c>
      <c r="K282" s="68">
        <f t="shared" si="16"/>
        <v>0</v>
      </c>
      <c r="L282" s="100">
        <f t="shared" si="18"/>
        <v>-0.42486133646629831</v>
      </c>
      <c r="M282" s="68">
        <f t="shared" si="19"/>
        <v>10</v>
      </c>
    </row>
    <row r="283" spans="1:13">
      <c r="A283" s="100" t="str">
        <f>MID(Page012[[#This Row],[Column5]],SEARCH("(",Page012[[#This Row],[Column5]])+1,SEARCH(")",Page012[[#This Row],[Column5]])-SEARCH("(",Page012[[#This Row],[Column5]])-1)</f>
        <v>10.31</v>
      </c>
      <c r="B283" s="68" t="s">
        <v>451</v>
      </c>
      <c r="C283" s="68" t="s">
        <v>292</v>
      </c>
      <c r="D283" s="68" t="s">
        <v>292</v>
      </c>
      <c r="E283" s="68" t="s">
        <v>452</v>
      </c>
      <c r="F283" s="68" t="s">
        <v>417</v>
      </c>
      <c r="G283" s="68">
        <v>100.71</v>
      </c>
      <c r="H283" s="100" t="str">
        <f>MID(Page012[[#This Row],[Column4]],SEARCH("(",Page012[[#This Row],[Column4]])+1,SEARCH(")",Page012[[#This Row],[Column4]])-SEARCH("(",Page012[[#This Row],[Column4]])-1)</f>
        <v>406.4</v>
      </c>
      <c r="I283" s="68">
        <v>406.4</v>
      </c>
      <c r="J283" s="68">
        <f t="shared" si="17"/>
        <v>0</v>
      </c>
      <c r="K283" s="68">
        <f t="shared" si="16"/>
        <v>0</v>
      </c>
      <c r="L283" s="100">
        <f t="shared" si="18"/>
        <v>-0.42486133646629831</v>
      </c>
      <c r="M283" s="68">
        <f t="shared" si="19"/>
        <v>10</v>
      </c>
    </row>
    <row r="284" spans="1:13">
      <c r="A284" s="100" t="str">
        <f>MID(Page012[[#This Row],[Column5]],SEARCH("(",Page012[[#This Row],[Column5]])+1,SEARCH(")",Page012[[#This Row],[Column5]])-SEARCH("(",Page012[[#This Row],[Column5]])-1)</f>
        <v>11.13</v>
      </c>
      <c r="B284" s="68" t="s">
        <v>451</v>
      </c>
      <c r="C284" s="68" t="s">
        <v>292</v>
      </c>
      <c r="D284" s="68" t="s">
        <v>292</v>
      </c>
      <c r="E284" s="68" t="s">
        <v>452</v>
      </c>
      <c r="F284" s="68" t="s">
        <v>381</v>
      </c>
      <c r="G284" s="68">
        <v>108.49</v>
      </c>
      <c r="H284" s="100" t="str">
        <f>MID(Page012[[#This Row],[Column4]],SEARCH("(",Page012[[#This Row],[Column4]])+1,SEARCH(")",Page012[[#This Row],[Column4]])-SEARCH("(",Page012[[#This Row],[Column4]])-1)</f>
        <v>406.4</v>
      </c>
      <c r="I284" s="68">
        <v>406.4</v>
      </c>
      <c r="J284" s="68">
        <f t="shared" si="17"/>
        <v>0</v>
      </c>
      <c r="K284" s="68">
        <f t="shared" si="16"/>
        <v>0</v>
      </c>
      <c r="L284" s="100">
        <f t="shared" si="18"/>
        <v>-0.42486133646629831</v>
      </c>
      <c r="M284" s="68">
        <f t="shared" si="19"/>
        <v>10</v>
      </c>
    </row>
    <row r="285" spans="1:13">
      <c r="A285" s="100" t="str">
        <f>MID(Page012[[#This Row],[Column5]],SEARCH("(",Page012[[#This Row],[Column5]])+1,SEARCH(")",Page012[[#This Row],[Column5]])-SEARCH("(",Page012[[#This Row],[Column5]])-1)</f>
        <v>11.91</v>
      </c>
      <c r="B285" s="68" t="s">
        <v>451</v>
      </c>
      <c r="C285" s="68" t="s">
        <v>292</v>
      </c>
      <c r="D285" s="68" t="s">
        <v>292</v>
      </c>
      <c r="E285" s="68" t="s">
        <v>452</v>
      </c>
      <c r="F285" s="68" t="s">
        <v>444</v>
      </c>
      <c r="G285" s="68">
        <v>115.87</v>
      </c>
      <c r="H285" s="100" t="str">
        <f>MID(Page012[[#This Row],[Column4]],SEARCH("(",Page012[[#This Row],[Column4]])+1,SEARCH(")",Page012[[#This Row],[Column4]])-SEARCH("(",Page012[[#This Row],[Column4]])-1)</f>
        <v>406.4</v>
      </c>
      <c r="I285" s="68">
        <v>406.4</v>
      </c>
      <c r="J285" s="68">
        <f t="shared" si="17"/>
        <v>0</v>
      </c>
      <c r="K285" s="68">
        <f t="shared" si="16"/>
        <v>0</v>
      </c>
      <c r="L285" s="100">
        <f t="shared" si="18"/>
        <v>-0.42486133646629831</v>
      </c>
      <c r="M285" s="68">
        <f t="shared" si="19"/>
        <v>10</v>
      </c>
    </row>
    <row r="286" spans="1:13">
      <c r="A286" s="100" t="str">
        <f>MID(Page012[[#This Row],[Column5]],SEARCH("(",Page012[[#This Row],[Column5]])+1,SEARCH(")",Page012[[#This Row],[Column5]])-SEARCH("(",Page012[[#This Row],[Column5]])-1)</f>
        <v>12.70</v>
      </c>
      <c r="B286" s="68" t="s">
        <v>451</v>
      </c>
      <c r="C286" s="68" t="s">
        <v>303</v>
      </c>
      <c r="D286" s="68" t="s">
        <v>301</v>
      </c>
      <c r="E286" s="68" t="s">
        <v>452</v>
      </c>
      <c r="F286" s="68" t="s">
        <v>399</v>
      </c>
      <c r="G286" s="68">
        <v>123.31</v>
      </c>
      <c r="H286" s="100" t="str">
        <f>MID(Page012[[#This Row],[Column4]],SEARCH("(",Page012[[#This Row],[Column4]])+1,SEARCH(")",Page012[[#This Row],[Column4]])-SEARCH("(",Page012[[#This Row],[Column4]])-1)</f>
        <v>406.4</v>
      </c>
      <c r="I286" s="68">
        <v>406.4</v>
      </c>
      <c r="J286" s="68">
        <f t="shared" si="17"/>
        <v>0</v>
      </c>
      <c r="K286" s="68">
        <f t="shared" si="16"/>
        <v>0</v>
      </c>
      <c r="L286" s="100">
        <f t="shared" si="18"/>
        <v>-0.42486133646629831</v>
      </c>
      <c r="M286" s="68">
        <f t="shared" si="19"/>
        <v>10</v>
      </c>
    </row>
    <row r="287" spans="1:13">
      <c r="A287" s="100" t="str">
        <f>MID(Page012[[#This Row],[Column5]],SEARCH("(",Page012[[#This Row],[Column5]])+1,SEARCH(")",Page012[[#This Row],[Column5]])-SEARCH("(",Page012[[#This Row],[Column5]])-1)</f>
        <v>14.27</v>
      </c>
      <c r="B287" s="68" t="s">
        <v>451</v>
      </c>
      <c r="C287" s="68" t="s">
        <v>292</v>
      </c>
      <c r="D287" s="68" t="s">
        <v>292</v>
      </c>
      <c r="E287" s="68" t="s">
        <v>452</v>
      </c>
      <c r="F287" s="68" t="s">
        <v>406</v>
      </c>
      <c r="G287" s="68">
        <v>138</v>
      </c>
      <c r="H287" s="100" t="str">
        <f>MID(Page012[[#This Row],[Column4]],SEARCH("(",Page012[[#This Row],[Column4]])+1,SEARCH(")",Page012[[#This Row],[Column4]])-SEARCH("(",Page012[[#This Row],[Column4]])-1)</f>
        <v>406.4</v>
      </c>
      <c r="I287" s="68">
        <v>406.4</v>
      </c>
      <c r="J287" s="68">
        <f t="shared" si="17"/>
        <v>0</v>
      </c>
      <c r="K287" s="68">
        <f t="shared" si="16"/>
        <v>0</v>
      </c>
      <c r="L287" s="100">
        <f t="shared" si="18"/>
        <v>-0.42486133646629831</v>
      </c>
      <c r="M287" s="68">
        <f t="shared" si="19"/>
        <v>10</v>
      </c>
    </row>
    <row r="288" spans="1:13">
      <c r="A288" s="100" t="str">
        <f>MID(Page012[[#This Row],[Column5]],SEARCH("(",Page012[[#This Row],[Column5]])+1,SEARCH(")",Page012[[#This Row],[Column5]])-SEARCH("(",Page012[[#This Row],[Column5]])-1)</f>
        <v>15.88</v>
      </c>
      <c r="B288" s="68" t="s">
        <v>451</v>
      </c>
      <c r="C288" s="68" t="s">
        <v>292</v>
      </c>
      <c r="D288" s="68" t="s">
        <v>292</v>
      </c>
      <c r="E288" s="68" t="s">
        <v>452</v>
      </c>
      <c r="F288" s="68" t="s">
        <v>400</v>
      </c>
      <c r="G288" s="68">
        <v>152.94</v>
      </c>
      <c r="H288" s="100" t="str">
        <f>MID(Page012[[#This Row],[Column4]],SEARCH("(",Page012[[#This Row],[Column4]])+1,SEARCH(")",Page012[[#This Row],[Column4]])-SEARCH("(",Page012[[#This Row],[Column4]])-1)</f>
        <v>406.4</v>
      </c>
      <c r="I288" s="68">
        <v>406.4</v>
      </c>
      <c r="J288" s="68">
        <f t="shared" si="17"/>
        <v>0</v>
      </c>
      <c r="K288" s="68">
        <f t="shared" si="16"/>
        <v>0</v>
      </c>
      <c r="L288" s="100">
        <f t="shared" si="18"/>
        <v>-0.42486133646629831</v>
      </c>
      <c r="M288" s="68">
        <f t="shared" si="19"/>
        <v>10</v>
      </c>
    </row>
    <row r="289" spans="1:13">
      <c r="A289" s="100" t="str">
        <f>MID(Page012[[#This Row],[Column5]],SEARCH("(",Page012[[#This Row],[Column5]])+1,SEARCH(")",Page012[[#This Row],[Column5]])-SEARCH("(",Page012[[#This Row],[Column5]])-1)</f>
        <v>16.66</v>
      </c>
      <c r="B289" s="68" t="s">
        <v>451</v>
      </c>
      <c r="C289" s="68" t="s">
        <v>292</v>
      </c>
      <c r="D289" s="68" t="s">
        <v>416</v>
      </c>
      <c r="E289" s="68" t="s">
        <v>452</v>
      </c>
      <c r="F289" s="68" t="s">
        <v>453</v>
      </c>
      <c r="G289" s="68">
        <v>160.13</v>
      </c>
      <c r="H289" s="100" t="str">
        <f>MID(Page012[[#This Row],[Column4]],SEARCH("(",Page012[[#This Row],[Column4]])+1,SEARCH(")",Page012[[#This Row],[Column4]])-SEARCH("(",Page012[[#This Row],[Column4]])-1)</f>
        <v>406.4</v>
      </c>
      <c r="I289" s="68">
        <v>406.4</v>
      </c>
      <c r="J289" s="68">
        <f t="shared" si="17"/>
        <v>0</v>
      </c>
      <c r="K289" s="68">
        <f t="shared" si="16"/>
        <v>0</v>
      </c>
      <c r="L289" s="100">
        <f t="shared" si="18"/>
        <v>-0.42486133646629831</v>
      </c>
      <c r="M289" s="68">
        <f t="shared" si="19"/>
        <v>10</v>
      </c>
    </row>
    <row r="290" spans="1:13">
      <c r="A290" s="100" t="str">
        <f>MID(Page012[[#This Row],[Column5]],SEARCH("(",Page012[[#This Row],[Column5]])+1,SEARCH(")",Page012[[#This Row],[Column5]])-SEARCH("(",Page012[[#This Row],[Column5]])-1)</f>
        <v>17.48</v>
      </c>
      <c r="B290" s="68" t="s">
        <v>451</v>
      </c>
      <c r="C290" s="68" t="s">
        <v>292</v>
      </c>
      <c r="D290" s="68" t="s">
        <v>292</v>
      </c>
      <c r="E290" s="68" t="s">
        <v>452</v>
      </c>
      <c r="F290" s="68" t="s">
        <v>438</v>
      </c>
      <c r="G290" s="68">
        <v>167.66</v>
      </c>
      <c r="H290" s="100" t="str">
        <f>MID(Page012[[#This Row],[Column4]],SEARCH("(",Page012[[#This Row],[Column4]])+1,SEARCH(")",Page012[[#This Row],[Column4]])-SEARCH("(",Page012[[#This Row],[Column4]])-1)</f>
        <v>406.4</v>
      </c>
      <c r="I290" s="68">
        <v>406.4</v>
      </c>
      <c r="J290" s="68">
        <f t="shared" si="17"/>
        <v>0</v>
      </c>
      <c r="K290" s="68">
        <f t="shared" si="16"/>
        <v>0</v>
      </c>
      <c r="L290" s="100">
        <f t="shared" si="18"/>
        <v>-0.42486133646629831</v>
      </c>
      <c r="M290" s="68">
        <f t="shared" si="19"/>
        <v>10</v>
      </c>
    </row>
    <row r="291" spans="1:13">
      <c r="A291" s="100" t="str">
        <f>MID(Page012[[#This Row],[Column5]],SEARCH("(",Page012[[#This Row],[Column5]])+1,SEARCH(")",Page012[[#This Row],[Column5]])-SEARCH("(",Page012[[#This Row],[Column5]])-1)</f>
        <v>19.05</v>
      </c>
      <c r="B291" s="68" t="s">
        <v>451</v>
      </c>
      <c r="C291" s="68" t="s">
        <v>292</v>
      </c>
      <c r="D291" s="68" t="s">
        <v>292</v>
      </c>
      <c r="E291" s="68" t="s">
        <v>452</v>
      </c>
      <c r="F291" s="68" t="s">
        <v>401</v>
      </c>
      <c r="G291" s="68">
        <v>181.98</v>
      </c>
      <c r="H291" s="100" t="str">
        <f>MID(Page012[[#This Row],[Column4]],SEARCH("(",Page012[[#This Row],[Column4]])+1,SEARCH(")",Page012[[#This Row],[Column4]])-SEARCH("(",Page012[[#This Row],[Column4]])-1)</f>
        <v>406.4</v>
      </c>
      <c r="I291" s="68">
        <v>406.4</v>
      </c>
      <c r="J291" s="68">
        <f t="shared" si="17"/>
        <v>0</v>
      </c>
      <c r="K291" s="68">
        <f t="shared" si="16"/>
        <v>0</v>
      </c>
      <c r="L291" s="100">
        <f t="shared" si="18"/>
        <v>-0.42486133646629831</v>
      </c>
      <c r="M291" s="68">
        <f t="shared" si="19"/>
        <v>10</v>
      </c>
    </row>
    <row r="292" spans="1:13">
      <c r="A292" s="100" t="str">
        <f>MID(Page012[[#This Row],[Column5]],SEARCH("(",Page012[[#This Row],[Column5]])+1,SEARCH(")",Page012[[#This Row],[Column5]])-SEARCH("(",Page012[[#This Row],[Column5]])-1)</f>
        <v>20.62</v>
      </c>
      <c r="B292" s="68" t="s">
        <v>451</v>
      </c>
      <c r="C292" s="68" t="s">
        <v>292</v>
      </c>
      <c r="D292" s="68" t="s">
        <v>292</v>
      </c>
      <c r="E292" s="68" t="s">
        <v>452</v>
      </c>
      <c r="F292" s="68" t="s">
        <v>421</v>
      </c>
      <c r="G292" s="68">
        <v>196.18</v>
      </c>
      <c r="H292" s="100" t="str">
        <f>MID(Page012[[#This Row],[Column4]],SEARCH("(",Page012[[#This Row],[Column4]])+1,SEARCH(")",Page012[[#This Row],[Column4]])-SEARCH("(",Page012[[#This Row],[Column4]])-1)</f>
        <v>406.4</v>
      </c>
      <c r="I292" s="68">
        <v>406.4</v>
      </c>
      <c r="J292" s="68">
        <f t="shared" si="17"/>
        <v>0</v>
      </c>
      <c r="K292" s="68">
        <f t="shared" si="16"/>
        <v>0</v>
      </c>
      <c r="L292" s="100">
        <f t="shared" si="18"/>
        <v>-0.42486133646629831</v>
      </c>
      <c r="M292" s="68">
        <f t="shared" si="19"/>
        <v>10</v>
      </c>
    </row>
    <row r="293" spans="1:13">
      <c r="A293" s="100" t="str">
        <f>MID(Page012[[#This Row],[Column5]],SEARCH("(",Page012[[#This Row],[Column5]])+1,SEARCH(")",Page012[[#This Row],[Column5]])-SEARCH("(",Page012[[#This Row],[Column5]])-1)</f>
        <v>21.44</v>
      </c>
      <c r="B293" s="68" t="s">
        <v>451</v>
      </c>
      <c r="C293" s="68" t="s">
        <v>292</v>
      </c>
      <c r="D293" s="68" t="s">
        <v>304</v>
      </c>
      <c r="E293" s="68" t="s">
        <v>452</v>
      </c>
      <c r="F293" s="68" t="s">
        <v>430</v>
      </c>
      <c r="G293" s="68">
        <v>203.54</v>
      </c>
      <c r="H293" s="100" t="str">
        <f>MID(Page012[[#This Row],[Column4]],SEARCH("(",Page012[[#This Row],[Column4]])+1,SEARCH(")",Page012[[#This Row],[Column4]])-SEARCH("(",Page012[[#This Row],[Column4]])-1)</f>
        <v>406.4</v>
      </c>
      <c r="I293" s="68">
        <v>406.4</v>
      </c>
      <c r="J293" s="68">
        <f t="shared" si="17"/>
        <v>0</v>
      </c>
      <c r="K293" s="68">
        <f t="shared" si="16"/>
        <v>0</v>
      </c>
      <c r="L293" s="100">
        <f t="shared" si="18"/>
        <v>-0.42486133646629831</v>
      </c>
      <c r="M293" s="68">
        <f t="shared" si="19"/>
        <v>10</v>
      </c>
    </row>
    <row r="294" spans="1:13">
      <c r="A294" s="100" t="str">
        <f>MID(Page012[[#This Row],[Column5]],SEARCH("(",Page012[[#This Row],[Column5]])+1,SEARCH(")",Page012[[#This Row],[Column5]])-SEARCH("(",Page012[[#This Row],[Column5]])-1)</f>
        <v>22.23</v>
      </c>
      <c r="B294" s="68" t="s">
        <v>451</v>
      </c>
      <c r="C294" s="68" t="s">
        <v>292</v>
      </c>
      <c r="D294" s="68" t="s">
        <v>292</v>
      </c>
      <c r="E294" s="68" t="s">
        <v>452</v>
      </c>
      <c r="F294" s="68" t="s">
        <v>409</v>
      </c>
      <c r="G294" s="68">
        <v>210.61</v>
      </c>
      <c r="H294" s="100" t="str">
        <f>MID(Page012[[#This Row],[Column4]],SEARCH("(",Page012[[#This Row],[Column4]])+1,SEARCH(")",Page012[[#This Row],[Column4]])-SEARCH("(",Page012[[#This Row],[Column4]])-1)</f>
        <v>406.4</v>
      </c>
      <c r="I294" s="68">
        <v>406.4</v>
      </c>
      <c r="J294" s="68">
        <f t="shared" si="17"/>
        <v>0</v>
      </c>
      <c r="K294" s="68">
        <f t="shared" si="16"/>
        <v>0</v>
      </c>
      <c r="L294" s="100">
        <f t="shared" si="18"/>
        <v>-0.42486133646629831</v>
      </c>
      <c r="M294" s="68">
        <f t="shared" si="19"/>
        <v>10</v>
      </c>
    </row>
    <row r="295" spans="1:13">
      <c r="A295" s="100" t="str">
        <f>MID(Page012[[#This Row],[Column5]],SEARCH("(",Page012[[#This Row],[Column5]])+1,SEARCH(")",Page012[[#This Row],[Column5]])-SEARCH("(",Page012[[#This Row],[Column5]])-1)</f>
        <v>23.83</v>
      </c>
      <c r="B295" s="68" t="s">
        <v>451</v>
      </c>
      <c r="C295" s="68" t="s">
        <v>292</v>
      </c>
      <c r="D295" s="68" t="s">
        <v>292</v>
      </c>
      <c r="E295" s="68" t="s">
        <v>452</v>
      </c>
      <c r="F295" s="68" t="s">
        <v>431</v>
      </c>
      <c r="G295" s="68">
        <v>224.83</v>
      </c>
      <c r="H295" s="100" t="str">
        <f>MID(Page012[[#This Row],[Column4]],SEARCH("(",Page012[[#This Row],[Column4]])+1,SEARCH(")",Page012[[#This Row],[Column4]])-SEARCH("(",Page012[[#This Row],[Column4]])-1)</f>
        <v>406.4</v>
      </c>
      <c r="I295" s="68">
        <v>406.4</v>
      </c>
      <c r="J295" s="68">
        <f t="shared" si="17"/>
        <v>0</v>
      </c>
      <c r="K295" s="68">
        <f t="shared" si="16"/>
        <v>0</v>
      </c>
      <c r="L295" s="100">
        <f t="shared" si="18"/>
        <v>-0.42486133646629831</v>
      </c>
      <c r="M295" s="68">
        <f t="shared" si="19"/>
        <v>10</v>
      </c>
    </row>
    <row r="296" spans="1:13">
      <c r="A296" s="100" t="str">
        <f>MID(Page012[[#This Row],[Column5]],SEARCH("(",Page012[[#This Row],[Column5]])+1,SEARCH(")",Page012[[#This Row],[Column5]])-SEARCH("(",Page012[[#This Row],[Column5]])-1)</f>
        <v>25.40</v>
      </c>
      <c r="B296" s="68" t="s">
        <v>451</v>
      </c>
      <c r="C296" s="68" t="s">
        <v>292</v>
      </c>
      <c r="D296" s="68" t="s">
        <v>292</v>
      </c>
      <c r="E296" s="68" t="s">
        <v>452</v>
      </c>
      <c r="F296" s="68" t="s">
        <v>423</v>
      </c>
      <c r="G296" s="68">
        <v>238.66</v>
      </c>
      <c r="H296" s="100" t="str">
        <f>MID(Page012[[#This Row],[Column4]],SEARCH("(",Page012[[#This Row],[Column4]])+1,SEARCH(")",Page012[[#This Row],[Column4]])-SEARCH("(",Page012[[#This Row],[Column4]])-1)</f>
        <v>406.4</v>
      </c>
      <c r="I296" s="68">
        <v>406.4</v>
      </c>
      <c r="J296" s="68">
        <f t="shared" si="17"/>
        <v>0</v>
      </c>
      <c r="K296" s="68">
        <f t="shared" si="16"/>
        <v>0</v>
      </c>
      <c r="L296" s="100">
        <f t="shared" si="18"/>
        <v>-0.42486133646629831</v>
      </c>
      <c r="M296" s="68">
        <f t="shared" si="19"/>
        <v>10</v>
      </c>
    </row>
    <row r="297" spans="1:13">
      <c r="A297" s="100" t="str">
        <f>MID(Page012[[#This Row],[Column5]],SEARCH("(",Page012[[#This Row],[Column5]])+1,SEARCH(")",Page012[[#This Row],[Column5]])-SEARCH("(",Page012[[#This Row],[Column5]])-1)</f>
        <v>26.19</v>
      </c>
      <c r="B297" s="68" t="s">
        <v>451</v>
      </c>
      <c r="C297" s="68" t="s">
        <v>292</v>
      </c>
      <c r="D297" s="68" t="s">
        <v>418</v>
      </c>
      <c r="E297" s="68" t="s">
        <v>452</v>
      </c>
      <c r="F297" s="68" t="s">
        <v>454</v>
      </c>
      <c r="G297" s="68">
        <v>245.57</v>
      </c>
      <c r="H297" s="100" t="str">
        <f>MID(Page012[[#This Row],[Column4]],SEARCH("(",Page012[[#This Row],[Column4]])+1,SEARCH(")",Page012[[#This Row],[Column4]])-SEARCH("(",Page012[[#This Row],[Column4]])-1)</f>
        <v>406.4</v>
      </c>
      <c r="I297" s="68">
        <v>406.4</v>
      </c>
      <c r="J297" s="68">
        <f t="shared" si="17"/>
        <v>0</v>
      </c>
      <c r="K297" s="68">
        <f t="shared" si="16"/>
        <v>0</v>
      </c>
      <c r="L297" s="100">
        <f t="shared" si="18"/>
        <v>-0.42486133646629831</v>
      </c>
      <c r="M297" s="68">
        <f t="shared" si="19"/>
        <v>10</v>
      </c>
    </row>
    <row r="298" spans="1:13">
      <c r="A298" s="100" t="str">
        <f>MID(Page012[[#This Row],[Column5]],SEARCH("(",Page012[[#This Row],[Column5]])+1,SEARCH(")",Page012[[#This Row],[Column5]])-SEARCH("(",Page012[[#This Row],[Column5]])-1)</f>
        <v>26.97</v>
      </c>
      <c r="B298" s="68" t="s">
        <v>451</v>
      </c>
      <c r="C298" s="68" t="s">
        <v>292</v>
      </c>
      <c r="D298" s="68" t="s">
        <v>292</v>
      </c>
      <c r="E298" s="68" t="s">
        <v>452</v>
      </c>
      <c r="F298" s="68" t="s">
        <v>439</v>
      </c>
      <c r="G298" s="68">
        <v>252.37</v>
      </c>
      <c r="H298" s="100" t="str">
        <f>MID(Page012[[#This Row],[Column4]],SEARCH("(",Page012[[#This Row],[Column4]])+1,SEARCH(")",Page012[[#This Row],[Column4]])-SEARCH("(",Page012[[#This Row],[Column4]])-1)</f>
        <v>406.4</v>
      </c>
      <c r="I298" s="68">
        <v>406.4</v>
      </c>
      <c r="J298" s="68">
        <f t="shared" si="17"/>
        <v>0</v>
      </c>
      <c r="K298" s="68">
        <f t="shared" si="16"/>
        <v>0</v>
      </c>
      <c r="L298" s="100">
        <f t="shared" si="18"/>
        <v>-0.42486133646629831</v>
      </c>
      <c r="M298" s="68">
        <f t="shared" si="19"/>
        <v>10</v>
      </c>
    </row>
    <row r="299" spans="1:13">
      <c r="A299" s="100" t="str">
        <f>MID(Page012[[#This Row],[Column5]],SEARCH("(",Page012[[#This Row],[Column5]])+1,SEARCH(")",Page012[[#This Row],[Column5]])-SEARCH("(",Page012[[#This Row],[Column5]])-1)</f>
        <v>28.58</v>
      </c>
      <c r="B299" s="68" t="s">
        <v>451</v>
      </c>
      <c r="C299" s="68" t="s">
        <v>292</v>
      </c>
      <c r="D299" s="68" t="s">
        <v>292</v>
      </c>
      <c r="E299" s="68" t="s">
        <v>452</v>
      </c>
      <c r="F299" s="68" t="s">
        <v>432</v>
      </c>
      <c r="G299" s="68">
        <v>266.3</v>
      </c>
      <c r="H299" s="100" t="str">
        <f>MID(Page012[[#This Row],[Column4]],SEARCH("(",Page012[[#This Row],[Column4]])+1,SEARCH(")",Page012[[#This Row],[Column4]])-SEARCH("(",Page012[[#This Row],[Column4]])-1)</f>
        <v>406.4</v>
      </c>
      <c r="I299" s="68">
        <v>406.4</v>
      </c>
      <c r="J299" s="68">
        <f t="shared" si="17"/>
        <v>0</v>
      </c>
      <c r="K299" s="68">
        <f t="shared" si="16"/>
        <v>0</v>
      </c>
      <c r="L299" s="100">
        <f t="shared" si="18"/>
        <v>-0.42486133646629831</v>
      </c>
      <c r="M299" s="68">
        <f t="shared" si="19"/>
        <v>10</v>
      </c>
    </row>
    <row r="300" spans="1:13">
      <c r="A300" s="100" t="str">
        <f>MID(Page012[[#This Row],[Column5]],SEARCH("(",Page012[[#This Row],[Column5]])+1,SEARCH(")",Page012[[#This Row],[Column5]])-SEARCH("(",Page012[[#This Row],[Column5]])-1)</f>
        <v>30.18</v>
      </c>
      <c r="B300" s="68" t="s">
        <v>451</v>
      </c>
      <c r="C300" s="68" t="s">
        <v>292</v>
      </c>
      <c r="D300" s="68" t="s">
        <v>292</v>
      </c>
      <c r="E300" s="68" t="s">
        <v>452</v>
      </c>
      <c r="F300" s="68" t="s">
        <v>455</v>
      </c>
      <c r="G300" s="68">
        <v>280.01</v>
      </c>
      <c r="H300" s="100" t="str">
        <f>MID(Page012[[#This Row],[Column4]],SEARCH("(",Page012[[#This Row],[Column4]])+1,SEARCH(")",Page012[[#This Row],[Column4]])-SEARCH("(",Page012[[#This Row],[Column4]])-1)</f>
        <v>406.4</v>
      </c>
      <c r="I300" s="68">
        <v>406.4</v>
      </c>
      <c r="J300" s="68">
        <f t="shared" si="17"/>
        <v>0</v>
      </c>
      <c r="K300" s="68">
        <f t="shared" si="16"/>
        <v>0</v>
      </c>
      <c r="L300" s="100">
        <f t="shared" si="18"/>
        <v>-0.42486133646629831</v>
      </c>
      <c r="M300" s="68">
        <f t="shared" si="19"/>
        <v>10</v>
      </c>
    </row>
    <row r="301" spans="1:13">
      <c r="A301" s="100" t="str">
        <f>MID(Page012[[#This Row],[Column5]],SEARCH("(",Page012[[#This Row],[Column5]])+1,SEARCH(")",Page012[[#This Row],[Column5]])-SEARCH("(",Page012[[#This Row],[Column5]])-1)</f>
        <v>30.96</v>
      </c>
      <c r="B301" s="68" t="s">
        <v>451</v>
      </c>
      <c r="C301" s="68" t="s">
        <v>292</v>
      </c>
      <c r="D301" s="68" t="s">
        <v>392</v>
      </c>
      <c r="E301" s="68" t="s">
        <v>452</v>
      </c>
      <c r="F301" s="68" t="s">
        <v>456</v>
      </c>
      <c r="G301" s="68">
        <v>286.63</v>
      </c>
      <c r="H301" s="100" t="str">
        <f>MID(Page012[[#This Row],[Column4]],SEARCH("(",Page012[[#This Row],[Column4]])+1,SEARCH(")",Page012[[#This Row],[Column4]])-SEARCH("(",Page012[[#This Row],[Column4]])-1)</f>
        <v>406.4</v>
      </c>
      <c r="I301" s="68">
        <v>406.4</v>
      </c>
      <c r="J301" s="68">
        <f t="shared" si="17"/>
        <v>0</v>
      </c>
      <c r="K301" s="68">
        <f t="shared" si="16"/>
        <v>0</v>
      </c>
      <c r="L301" s="100">
        <f t="shared" si="18"/>
        <v>-0.42486133646629831</v>
      </c>
      <c r="M301" s="68">
        <f t="shared" si="19"/>
        <v>10</v>
      </c>
    </row>
    <row r="302" spans="1:13">
      <c r="A302" s="100" t="str">
        <f>MID(Page012[[#This Row],[Column5]],SEARCH("(",Page012[[#This Row],[Column5]])+1,SEARCH(")",Page012[[#This Row],[Column5]])-SEARCH("(",Page012[[#This Row],[Column5]])-1)</f>
        <v>31.75</v>
      </c>
      <c r="B302" s="68" t="s">
        <v>451</v>
      </c>
      <c r="C302" s="68" t="s">
        <v>292</v>
      </c>
      <c r="D302" s="68" t="s">
        <v>292</v>
      </c>
      <c r="E302" s="68" t="s">
        <v>452</v>
      </c>
      <c r="F302" s="68" t="s">
        <v>433</v>
      </c>
      <c r="G302" s="68">
        <v>293.35000000000002</v>
      </c>
      <c r="H302" s="100" t="str">
        <f>MID(Page012[[#This Row],[Column4]],SEARCH("(",Page012[[#This Row],[Column4]])+1,SEARCH(")",Page012[[#This Row],[Column4]])-SEARCH("(",Page012[[#This Row],[Column4]])-1)</f>
        <v>406.4</v>
      </c>
      <c r="I302" s="68">
        <v>406.4</v>
      </c>
      <c r="J302" s="68">
        <f t="shared" si="17"/>
        <v>0</v>
      </c>
      <c r="K302" s="68">
        <f t="shared" si="16"/>
        <v>0</v>
      </c>
      <c r="L302" s="100">
        <f t="shared" si="18"/>
        <v>-0.42486133646629831</v>
      </c>
      <c r="M302" s="68">
        <f t="shared" si="19"/>
        <v>10</v>
      </c>
    </row>
    <row r="303" spans="1:13">
      <c r="A303" s="100" t="str">
        <f>MID(Page012[[#This Row],[Column5]],SEARCH("(",Page012[[#This Row],[Column5]])+1,SEARCH(")",Page012[[#This Row],[Column5]])-SEARCH("(",Page012[[#This Row],[Column5]])-1)</f>
        <v>36.53</v>
      </c>
      <c r="B303" s="68" t="s">
        <v>451</v>
      </c>
      <c r="C303" s="68" t="s">
        <v>292</v>
      </c>
      <c r="D303" s="68" t="s">
        <v>420</v>
      </c>
      <c r="E303" s="68" t="s">
        <v>452</v>
      </c>
      <c r="F303" s="68" t="s">
        <v>457</v>
      </c>
      <c r="G303" s="68">
        <v>333.21</v>
      </c>
      <c r="H303" s="100" t="str">
        <f>MID(Page012[[#This Row],[Column4]],SEARCH("(",Page012[[#This Row],[Column4]])+1,SEARCH(")",Page012[[#This Row],[Column4]])-SEARCH("(",Page012[[#This Row],[Column4]])-1)</f>
        <v>406.4</v>
      </c>
      <c r="I303" s="68">
        <v>406.4</v>
      </c>
      <c r="J303" s="68">
        <f t="shared" si="17"/>
        <v>0</v>
      </c>
      <c r="K303" s="68">
        <f t="shared" si="16"/>
        <v>0</v>
      </c>
      <c r="L303" s="100">
        <f t="shared" si="18"/>
        <v>-0.42486133646629831</v>
      </c>
      <c r="M303" s="68">
        <f t="shared" si="19"/>
        <v>10</v>
      </c>
    </row>
    <row r="304" spans="1:13">
      <c r="A304" s="100" t="str">
        <f>MID(Page012[[#This Row],[Column5]],SEARCH("(",Page012[[#This Row],[Column5]])+1,SEARCH(")",Page012[[#This Row],[Column5]])-SEARCH("(",Page012[[#This Row],[Column5]])-1)</f>
        <v>40.49</v>
      </c>
      <c r="B304" s="68" t="s">
        <v>451</v>
      </c>
      <c r="C304" s="68" t="s">
        <v>292</v>
      </c>
      <c r="D304" s="68" t="s">
        <v>306</v>
      </c>
      <c r="E304" s="68" t="s">
        <v>452</v>
      </c>
      <c r="F304" s="68" t="s">
        <v>458</v>
      </c>
      <c r="G304" s="68">
        <v>365.38</v>
      </c>
      <c r="H304" s="100" t="str">
        <f>MID(Page012[[#This Row],[Column4]],SEARCH("(",Page012[[#This Row],[Column4]])+1,SEARCH(")",Page012[[#This Row],[Column4]])-SEARCH("(",Page012[[#This Row],[Column4]])-1)</f>
        <v>406.4</v>
      </c>
      <c r="I304" s="68">
        <v>406.4</v>
      </c>
      <c r="J304" s="68">
        <f t="shared" si="17"/>
        <v>0</v>
      </c>
      <c r="K304" s="68">
        <f t="shared" si="16"/>
        <v>0</v>
      </c>
      <c r="L304" s="100">
        <f t="shared" si="18"/>
        <v>-0.42486133646629831</v>
      </c>
      <c r="M304" s="68">
        <f t="shared" si="19"/>
        <v>10</v>
      </c>
    </row>
    <row r="305" spans="1:13">
      <c r="A305" s="100" t="str">
        <f>MID(Page012[[#This Row],[Column5]],SEARCH("(",Page012[[#This Row],[Column5]])+1,SEARCH(")",Page012[[#This Row],[Column5]])-SEARCH("(",Page012[[#This Row],[Column5]])-1)</f>
        <v>4.19</v>
      </c>
      <c r="B305" s="68" t="s">
        <v>459</v>
      </c>
      <c r="C305" s="68" t="s">
        <v>292</v>
      </c>
      <c r="D305" s="68" t="s">
        <v>330</v>
      </c>
      <c r="E305" s="68" t="s">
        <v>460</v>
      </c>
      <c r="F305" s="68" t="s">
        <v>426</v>
      </c>
      <c r="G305" s="68">
        <v>46.79</v>
      </c>
      <c r="H305" s="100" t="str">
        <f>MID(Page012[[#This Row],[Column4]],SEARCH("(",Page012[[#This Row],[Column4]])+1,SEARCH(")",Page012[[#This Row],[Column4]])-SEARCH("(",Page012[[#This Row],[Column4]])-1)</f>
        <v>457</v>
      </c>
      <c r="I305" s="68">
        <v>457</v>
      </c>
      <c r="J305" s="68">
        <f t="shared" si="17"/>
        <v>0</v>
      </c>
      <c r="K305" s="68">
        <f t="shared" si="16"/>
        <v>0</v>
      </c>
      <c r="L305" s="100">
        <f t="shared" si="18"/>
        <v>-0.42486133646629831</v>
      </c>
      <c r="M305" s="68">
        <f t="shared" si="19"/>
        <v>10</v>
      </c>
    </row>
    <row r="306" spans="1:13">
      <c r="A306" s="100" t="str">
        <f>MID(Page012[[#This Row],[Column5]],SEARCH("(",Page012[[#This Row],[Column5]])+1,SEARCH(")",Page012[[#This Row],[Column5]])-SEARCH("(",Page012[[#This Row],[Column5]])-1)</f>
        <v>4.78</v>
      </c>
      <c r="B306" s="68" t="s">
        <v>459</v>
      </c>
      <c r="C306" s="68" t="s">
        <v>292</v>
      </c>
      <c r="D306" s="68" t="s">
        <v>292</v>
      </c>
      <c r="E306" s="68" t="s">
        <v>460</v>
      </c>
      <c r="F306" s="68" t="s">
        <v>335</v>
      </c>
      <c r="G306" s="68">
        <v>53.31</v>
      </c>
      <c r="H306" s="100" t="str">
        <f>MID(Page012[[#This Row],[Column4]],SEARCH("(",Page012[[#This Row],[Column4]])+1,SEARCH(")",Page012[[#This Row],[Column4]])-SEARCH("(",Page012[[#This Row],[Column4]])-1)</f>
        <v>457</v>
      </c>
      <c r="I306" s="68">
        <v>457</v>
      </c>
      <c r="J306" s="68">
        <f t="shared" si="17"/>
        <v>0</v>
      </c>
      <c r="K306" s="68">
        <f t="shared" si="16"/>
        <v>0</v>
      </c>
      <c r="L306" s="100">
        <f t="shared" si="18"/>
        <v>-0.42486133646629831</v>
      </c>
      <c r="M306" s="68">
        <f t="shared" si="19"/>
        <v>10</v>
      </c>
    </row>
    <row r="307" spans="1:13">
      <c r="A307" s="100" t="str">
        <f>MID(Page012[[#This Row],[Column5]],SEARCH("(",Page012[[#This Row],[Column5]])+1,SEARCH(")",Page012[[#This Row],[Column5]])-SEARCH("(",Page012[[#This Row],[Column5]])-1)</f>
        <v>5.56</v>
      </c>
      <c r="B307" s="68" t="s">
        <v>459</v>
      </c>
      <c r="C307" s="68" t="s">
        <v>292</v>
      </c>
      <c r="D307" s="68" t="s">
        <v>292</v>
      </c>
      <c r="E307" s="68" t="s">
        <v>460</v>
      </c>
      <c r="F307" s="68" t="s">
        <v>341</v>
      </c>
      <c r="G307" s="68">
        <v>61.9</v>
      </c>
      <c r="H307" s="100" t="str">
        <f>MID(Page012[[#This Row],[Column4]],SEARCH("(",Page012[[#This Row],[Column4]])+1,SEARCH(")",Page012[[#This Row],[Column4]])-SEARCH("(",Page012[[#This Row],[Column4]])-1)</f>
        <v>457</v>
      </c>
      <c r="I307" s="68">
        <v>457</v>
      </c>
      <c r="J307" s="68">
        <f t="shared" si="17"/>
        <v>0</v>
      </c>
      <c r="K307" s="68">
        <f t="shared" si="16"/>
        <v>0</v>
      </c>
      <c r="L307" s="100">
        <f t="shared" si="18"/>
        <v>-0.42486133646629831</v>
      </c>
      <c r="M307" s="68">
        <f t="shared" si="19"/>
        <v>10</v>
      </c>
    </row>
    <row r="308" spans="1:13">
      <c r="A308" s="100" t="str">
        <f>MID(Page012[[#This Row],[Column5]],SEARCH("(",Page012[[#This Row],[Column5]])+1,SEARCH(")",Page012[[#This Row],[Column5]])-SEARCH("(",Page012[[#This Row],[Column5]])-1)</f>
        <v>6.35</v>
      </c>
      <c r="B308" s="68" t="s">
        <v>459</v>
      </c>
      <c r="C308" s="68" t="s">
        <v>292</v>
      </c>
      <c r="D308" s="68" t="s">
        <v>293</v>
      </c>
      <c r="E308" s="68" t="s">
        <v>460</v>
      </c>
      <c r="F308" s="68" t="s">
        <v>348</v>
      </c>
      <c r="G308" s="68">
        <v>70.569999999999993</v>
      </c>
      <c r="H308" s="100" t="str">
        <f>MID(Page012[[#This Row],[Column4]],SEARCH("(",Page012[[#This Row],[Column4]])+1,SEARCH(")",Page012[[#This Row],[Column4]])-SEARCH("(",Page012[[#This Row],[Column4]])-1)</f>
        <v>457</v>
      </c>
      <c r="I308" s="68">
        <v>457</v>
      </c>
      <c r="J308" s="68">
        <f t="shared" si="17"/>
        <v>0</v>
      </c>
      <c r="K308" s="68">
        <f t="shared" si="16"/>
        <v>0</v>
      </c>
      <c r="L308" s="100">
        <f t="shared" si="18"/>
        <v>-0.42486133646629831</v>
      </c>
      <c r="M308" s="68">
        <f t="shared" si="19"/>
        <v>10</v>
      </c>
    </row>
    <row r="309" spans="1:13">
      <c r="A309" s="100" t="str">
        <f>MID(Page012[[#This Row],[Column5]],SEARCH("(",Page012[[#This Row],[Column5]])+1,SEARCH(")",Page012[[#This Row],[Column5]])-SEARCH("(",Page012[[#This Row],[Column5]])-1)</f>
        <v>7.14</v>
      </c>
      <c r="B309" s="68" t="s">
        <v>459</v>
      </c>
      <c r="C309" s="68" t="s">
        <v>292</v>
      </c>
      <c r="D309" s="68" t="s">
        <v>292</v>
      </c>
      <c r="E309" s="68" t="s">
        <v>460</v>
      </c>
      <c r="F309" s="68" t="s">
        <v>360</v>
      </c>
      <c r="G309" s="68">
        <v>79.209999999999994</v>
      </c>
      <c r="H309" s="100" t="str">
        <f>MID(Page012[[#This Row],[Column4]],SEARCH("(",Page012[[#This Row],[Column4]])+1,SEARCH(")",Page012[[#This Row],[Column4]])-SEARCH("(",Page012[[#This Row],[Column4]])-1)</f>
        <v>457</v>
      </c>
      <c r="I309" s="68">
        <v>457</v>
      </c>
      <c r="J309" s="68">
        <f t="shared" si="17"/>
        <v>0</v>
      </c>
      <c r="K309" s="68">
        <f t="shared" si="16"/>
        <v>0</v>
      </c>
      <c r="L309" s="100">
        <f t="shared" si="18"/>
        <v>-0.42486133646629831</v>
      </c>
      <c r="M309" s="68">
        <f t="shared" si="19"/>
        <v>10</v>
      </c>
    </row>
    <row r="310" spans="1:13">
      <c r="A310" s="100" t="str">
        <f>MID(Page012[[#This Row],[Column5]],SEARCH("(",Page012[[#This Row],[Column5]])+1,SEARCH(")",Page012[[#This Row],[Column5]])-SEARCH("(",Page012[[#This Row],[Column5]])-1)</f>
        <v>7.92</v>
      </c>
      <c r="B310" s="68" t="s">
        <v>459</v>
      </c>
      <c r="C310" s="68" t="s">
        <v>292</v>
      </c>
      <c r="D310" s="68" t="s">
        <v>413</v>
      </c>
      <c r="E310" s="68" t="s">
        <v>460</v>
      </c>
      <c r="F310" s="68" t="s">
        <v>390</v>
      </c>
      <c r="G310" s="68">
        <v>87.71</v>
      </c>
      <c r="H310" s="100" t="str">
        <f>MID(Page012[[#This Row],[Column4]],SEARCH("(",Page012[[#This Row],[Column4]])+1,SEARCH(")",Page012[[#This Row],[Column4]])-SEARCH("(",Page012[[#This Row],[Column4]])-1)</f>
        <v>457</v>
      </c>
      <c r="I310" s="68">
        <v>457</v>
      </c>
      <c r="J310" s="68">
        <f t="shared" si="17"/>
        <v>0</v>
      </c>
      <c r="K310" s="68">
        <f t="shared" si="16"/>
        <v>0</v>
      </c>
      <c r="L310" s="100">
        <f t="shared" si="18"/>
        <v>-0.42486133646629831</v>
      </c>
      <c r="M310" s="68">
        <f t="shared" si="19"/>
        <v>10</v>
      </c>
    </row>
    <row r="311" spans="1:13">
      <c r="A311" s="100" t="str">
        <f>MID(Page012[[#This Row],[Column5]],SEARCH("(",Page012[[#This Row],[Column5]])+1,SEARCH(")",Page012[[#This Row],[Column5]])-SEARCH("(",Page012[[#This Row],[Column5]])-1)</f>
        <v>8.74</v>
      </c>
      <c r="B311" s="68" t="s">
        <v>459</v>
      </c>
      <c r="C311" s="68" t="s">
        <v>292</v>
      </c>
      <c r="D311" s="68" t="s">
        <v>292</v>
      </c>
      <c r="E311" s="68" t="s">
        <v>460</v>
      </c>
      <c r="F311" s="68" t="s">
        <v>367</v>
      </c>
      <c r="G311" s="68">
        <v>96.62</v>
      </c>
      <c r="H311" s="100" t="str">
        <f>MID(Page012[[#This Row],[Column4]],SEARCH("(",Page012[[#This Row],[Column4]])+1,SEARCH(")",Page012[[#This Row],[Column4]])-SEARCH("(",Page012[[#This Row],[Column4]])-1)</f>
        <v>457</v>
      </c>
      <c r="I311" s="68">
        <v>457</v>
      </c>
      <c r="J311" s="68">
        <f t="shared" si="17"/>
        <v>0</v>
      </c>
      <c r="K311" s="68">
        <f t="shared" si="16"/>
        <v>0</v>
      </c>
      <c r="L311" s="100">
        <f t="shared" si="18"/>
        <v>-0.42486133646629831</v>
      </c>
      <c r="M311" s="68">
        <f t="shared" si="19"/>
        <v>10</v>
      </c>
    </row>
    <row r="312" spans="1:13">
      <c r="A312" s="100" t="str">
        <f>MID(Page012[[#This Row],[Column5]],SEARCH("(",Page012[[#This Row],[Column5]])+1,SEARCH(")",Page012[[#This Row],[Column5]])-SEARCH("(",Page012[[#This Row],[Column5]])-1)</f>
        <v>9.53</v>
      </c>
      <c r="B312" s="68" t="s">
        <v>459</v>
      </c>
      <c r="C312" s="68" t="s">
        <v>300</v>
      </c>
      <c r="D312" s="68" t="s">
        <v>292</v>
      </c>
      <c r="E312" s="68" t="s">
        <v>460</v>
      </c>
      <c r="F312" s="68" t="s">
        <v>376</v>
      </c>
      <c r="G312" s="68">
        <v>105.17</v>
      </c>
      <c r="H312" s="100" t="str">
        <f>MID(Page012[[#This Row],[Column4]],SEARCH("(",Page012[[#This Row],[Column4]])+1,SEARCH(")",Page012[[#This Row],[Column4]])-SEARCH("(",Page012[[#This Row],[Column4]])-1)</f>
        <v>457</v>
      </c>
      <c r="I312" s="68">
        <v>457</v>
      </c>
      <c r="J312" s="68">
        <f t="shared" si="17"/>
        <v>0</v>
      </c>
      <c r="K312" s="68">
        <f t="shared" si="16"/>
        <v>0</v>
      </c>
      <c r="L312" s="100">
        <f t="shared" si="18"/>
        <v>-0.42486133646629831</v>
      </c>
      <c r="M312" s="68">
        <f t="shared" si="19"/>
        <v>10</v>
      </c>
    </row>
    <row r="313" spans="1:13">
      <c r="A313" s="100" t="str">
        <f>MID(Page012[[#This Row],[Column5]],SEARCH("(",Page012[[#This Row],[Column5]])+1,SEARCH(")",Page012[[#This Row],[Column5]])-SEARCH("(",Page012[[#This Row],[Column5]])-1)</f>
        <v>10.31</v>
      </c>
      <c r="B313" s="68" t="s">
        <v>459</v>
      </c>
      <c r="C313" s="68" t="s">
        <v>292</v>
      </c>
      <c r="D313" s="68" t="s">
        <v>292</v>
      </c>
      <c r="E313" s="68" t="s">
        <v>460</v>
      </c>
      <c r="F313" s="68" t="s">
        <v>417</v>
      </c>
      <c r="G313" s="68">
        <v>113.58</v>
      </c>
      <c r="H313" s="100" t="str">
        <f>MID(Page012[[#This Row],[Column4]],SEARCH("(",Page012[[#This Row],[Column4]])+1,SEARCH(")",Page012[[#This Row],[Column4]])-SEARCH("(",Page012[[#This Row],[Column4]])-1)</f>
        <v>457</v>
      </c>
      <c r="I313" s="68">
        <v>457</v>
      </c>
      <c r="J313" s="68">
        <f t="shared" si="17"/>
        <v>0</v>
      </c>
      <c r="K313" s="68">
        <f t="shared" si="16"/>
        <v>0</v>
      </c>
      <c r="L313" s="100">
        <f t="shared" si="18"/>
        <v>-0.42486133646629831</v>
      </c>
      <c r="M313" s="68">
        <f t="shared" si="19"/>
        <v>10</v>
      </c>
    </row>
    <row r="314" spans="1:13">
      <c r="A314" s="100" t="str">
        <f>MID(Page012[[#This Row],[Column5]],SEARCH("(",Page012[[#This Row],[Column5]])+1,SEARCH(")",Page012[[#This Row],[Column5]])-SEARCH("(",Page012[[#This Row],[Column5]])-1)</f>
        <v>11.13</v>
      </c>
      <c r="B314" s="68" t="s">
        <v>459</v>
      </c>
      <c r="C314" s="68" t="s">
        <v>292</v>
      </c>
      <c r="D314" s="68" t="s">
        <v>297</v>
      </c>
      <c r="E314" s="68" t="s">
        <v>460</v>
      </c>
      <c r="F314" s="68" t="s">
        <v>381</v>
      </c>
      <c r="G314" s="68">
        <v>122.38</v>
      </c>
      <c r="H314" s="100" t="str">
        <f>MID(Page012[[#This Row],[Column4]],SEARCH("(",Page012[[#This Row],[Column4]])+1,SEARCH(")",Page012[[#This Row],[Column4]])-SEARCH("(",Page012[[#This Row],[Column4]])-1)</f>
        <v>457</v>
      </c>
      <c r="I314" s="68">
        <v>457</v>
      </c>
      <c r="J314" s="68">
        <f t="shared" si="17"/>
        <v>0</v>
      </c>
      <c r="K314" s="68">
        <f t="shared" si="16"/>
        <v>0</v>
      </c>
      <c r="L314" s="100">
        <f t="shared" si="18"/>
        <v>-0.42486133646629831</v>
      </c>
      <c r="M314" s="68">
        <f t="shared" si="19"/>
        <v>10</v>
      </c>
    </row>
    <row r="315" spans="1:13">
      <c r="A315" s="100" t="str">
        <f>MID(Page012[[#This Row],[Column5]],SEARCH("(",Page012[[#This Row],[Column5]])+1,SEARCH(")",Page012[[#This Row],[Column5]])-SEARCH("(",Page012[[#This Row],[Column5]])-1)</f>
        <v>11.91</v>
      </c>
      <c r="B315" s="68" t="s">
        <v>459</v>
      </c>
      <c r="C315" s="68" t="s">
        <v>292</v>
      </c>
      <c r="D315" s="68" t="s">
        <v>292</v>
      </c>
      <c r="E315" s="68" t="s">
        <v>460</v>
      </c>
      <c r="F315" s="68" t="s">
        <v>444</v>
      </c>
      <c r="G315" s="68">
        <v>130.72999999999999</v>
      </c>
      <c r="H315" s="100" t="str">
        <f>MID(Page012[[#This Row],[Column4]],SEARCH("(",Page012[[#This Row],[Column4]])+1,SEARCH(")",Page012[[#This Row],[Column4]])-SEARCH("(",Page012[[#This Row],[Column4]])-1)</f>
        <v>457</v>
      </c>
      <c r="I315" s="68">
        <v>457</v>
      </c>
      <c r="J315" s="68">
        <f t="shared" si="17"/>
        <v>0</v>
      </c>
      <c r="K315" s="68">
        <f t="shared" si="16"/>
        <v>0</v>
      </c>
      <c r="L315" s="100">
        <f t="shared" si="18"/>
        <v>-0.42486133646629831</v>
      </c>
      <c r="M315" s="68">
        <f t="shared" si="19"/>
        <v>10</v>
      </c>
    </row>
    <row r="316" spans="1:13">
      <c r="A316" s="100" t="str">
        <f>MID(Page012[[#This Row],[Column5]],SEARCH("(",Page012[[#This Row],[Column5]])+1,SEARCH(")",Page012[[#This Row],[Column5]])-SEARCH("(",Page012[[#This Row],[Column5]])-1)</f>
        <v>12.70</v>
      </c>
      <c r="B316" s="68" t="s">
        <v>459</v>
      </c>
      <c r="C316" s="68" t="s">
        <v>303</v>
      </c>
      <c r="D316" s="68" t="s">
        <v>292</v>
      </c>
      <c r="E316" s="68" t="s">
        <v>460</v>
      </c>
      <c r="F316" s="68" t="s">
        <v>399</v>
      </c>
      <c r="G316" s="68">
        <v>139.16</v>
      </c>
      <c r="H316" s="100" t="str">
        <f>MID(Page012[[#This Row],[Column4]],SEARCH("(",Page012[[#This Row],[Column4]])+1,SEARCH(")",Page012[[#This Row],[Column4]])-SEARCH("(",Page012[[#This Row],[Column4]])-1)</f>
        <v>457</v>
      </c>
      <c r="I316" s="68">
        <v>457</v>
      </c>
      <c r="J316" s="68">
        <f t="shared" si="17"/>
        <v>0</v>
      </c>
      <c r="K316" s="68">
        <f t="shared" si="16"/>
        <v>0</v>
      </c>
      <c r="L316" s="100">
        <f t="shared" si="18"/>
        <v>-0.42486133646629831</v>
      </c>
      <c r="M316" s="68">
        <f t="shared" si="19"/>
        <v>10</v>
      </c>
    </row>
    <row r="317" spans="1:13">
      <c r="A317" s="100" t="str">
        <f>MID(Page012[[#This Row],[Column5]],SEARCH("(",Page012[[#This Row],[Column5]])+1,SEARCH(")",Page012[[#This Row],[Column5]])-SEARCH("(",Page012[[#This Row],[Column5]])-1)</f>
        <v>14.27</v>
      </c>
      <c r="B317" s="68" t="s">
        <v>459</v>
      </c>
      <c r="C317" s="68" t="s">
        <v>292</v>
      </c>
      <c r="D317" s="68" t="s">
        <v>301</v>
      </c>
      <c r="E317" s="68" t="s">
        <v>460</v>
      </c>
      <c r="F317" s="68" t="s">
        <v>406</v>
      </c>
      <c r="G317" s="68">
        <v>155.81</v>
      </c>
      <c r="H317" s="100" t="str">
        <f>MID(Page012[[#This Row],[Column4]],SEARCH("(",Page012[[#This Row],[Column4]])+1,SEARCH(")",Page012[[#This Row],[Column4]])-SEARCH("(",Page012[[#This Row],[Column4]])-1)</f>
        <v>457</v>
      </c>
      <c r="I317" s="68">
        <v>457</v>
      </c>
      <c r="J317" s="68">
        <f t="shared" si="17"/>
        <v>0</v>
      </c>
      <c r="K317" s="68">
        <f t="shared" si="16"/>
        <v>0</v>
      </c>
      <c r="L317" s="100">
        <f t="shared" si="18"/>
        <v>-0.42486133646629831</v>
      </c>
      <c r="M317" s="68">
        <f t="shared" si="19"/>
        <v>10</v>
      </c>
    </row>
    <row r="318" spans="1:13">
      <c r="A318" s="100" t="str">
        <f>MID(Page012[[#This Row],[Column5]],SEARCH("(",Page012[[#This Row],[Column5]])+1,SEARCH(")",Page012[[#This Row],[Column5]])-SEARCH("(",Page012[[#This Row],[Column5]])-1)</f>
        <v>15.88</v>
      </c>
      <c r="B318" s="68" t="s">
        <v>459</v>
      </c>
      <c r="C318" s="68" t="s">
        <v>292</v>
      </c>
      <c r="D318" s="68" t="s">
        <v>292</v>
      </c>
      <c r="E318" s="68" t="s">
        <v>460</v>
      </c>
      <c r="F318" s="68" t="s">
        <v>400</v>
      </c>
      <c r="G318" s="68">
        <v>172.75</v>
      </c>
      <c r="H318" s="100" t="str">
        <f>MID(Page012[[#This Row],[Column4]],SEARCH("(",Page012[[#This Row],[Column4]])+1,SEARCH(")",Page012[[#This Row],[Column4]])-SEARCH("(",Page012[[#This Row],[Column4]])-1)</f>
        <v>457</v>
      </c>
      <c r="I318" s="68">
        <v>457</v>
      </c>
      <c r="J318" s="68">
        <f t="shared" si="17"/>
        <v>0</v>
      </c>
      <c r="K318" s="68">
        <f t="shared" si="16"/>
        <v>0</v>
      </c>
      <c r="L318" s="100">
        <f t="shared" si="18"/>
        <v>-0.42486133646629831</v>
      </c>
      <c r="M318" s="68">
        <f t="shared" si="19"/>
        <v>10</v>
      </c>
    </row>
    <row r="319" spans="1:13">
      <c r="A319" s="100" t="str">
        <f>MID(Page012[[#This Row],[Column5]],SEARCH("(",Page012[[#This Row],[Column5]])+1,SEARCH(")",Page012[[#This Row],[Column5]])-SEARCH("(",Page012[[#This Row],[Column5]])-1)</f>
        <v>17.48</v>
      </c>
      <c r="B319" s="68" t="s">
        <v>459</v>
      </c>
      <c r="C319" s="68" t="s">
        <v>292</v>
      </c>
      <c r="D319" s="68" t="s">
        <v>292</v>
      </c>
      <c r="E319" s="68" t="s">
        <v>460</v>
      </c>
      <c r="F319" s="68" t="s">
        <v>438</v>
      </c>
      <c r="G319" s="68">
        <v>189.47</v>
      </c>
      <c r="H319" s="100" t="str">
        <f>MID(Page012[[#This Row],[Column4]],SEARCH("(",Page012[[#This Row],[Column4]])+1,SEARCH(")",Page012[[#This Row],[Column4]])-SEARCH("(",Page012[[#This Row],[Column4]])-1)</f>
        <v>457</v>
      </c>
      <c r="I319" s="68">
        <v>457</v>
      </c>
      <c r="J319" s="68">
        <f t="shared" si="17"/>
        <v>0</v>
      </c>
      <c r="K319" s="68">
        <f t="shared" si="16"/>
        <v>0</v>
      </c>
      <c r="L319" s="100">
        <f t="shared" si="18"/>
        <v>-0.42486133646629831</v>
      </c>
      <c r="M319" s="68">
        <f t="shared" si="19"/>
        <v>10</v>
      </c>
    </row>
    <row r="320" spans="1:13">
      <c r="A320" s="100" t="str">
        <f>MID(Page012[[#This Row],[Column5]],SEARCH("(",Page012[[#This Row],[Column5]])+1,SEARCH(")",Page012[[#This Row],[Column5]])-SEARCH("(",Page012[[#This Row],[Column5]])-1)</f>
        <v>19.05</v>
      </c>
      <c r="B320" s="68" t="s">
        <v>459</v>
      </c>
      <c r="C320" s="68" t="s">
        <v>292</v>
      </c>
      <c r="D320" s="68" t="s">
        <v>416</v>
      </c>
      <c r="E320" s="68" t="s">
        <v>460</v>
      </c>
      <c r="F320" s="68" t="s">
        <v>401</v>
      </c>
      <c r="G320" s="68">
        <v>205.47</v>
      </c>
      <c r="H320" s="100" t="str">
        <f>MID(Page012[[#This Row],[Column4]],SEARCH("(",Page012[[#This Row],[Column4]])+1,SEARCH(")",Page012[[#This Row],[Column4]])-SEARCH("(",Page012[[#This Row],[Column4]])-1)</f>
        <v>457</v>
      </c>
      <c r="I320" s="68">
        <v>457</v>
      </c>
      <c r="J320" s="68">
        <f t="shared" si="17"/>
        <v>0</v>
      </c>
      <c r="K320" s="68">
        <f t="shared" si="16"/>
        <v>0</v>
      </c>
      <c r="L320" s="100">
        <f t="shared" si="18"/>
        <v>-0.42486133646629831</v>
      </c>
      <c r="M320" s="68">
        <f t="shared" si="19"/>
        <v>10</v>
      </c>
    </row>
    <row r="321" spans="1:13">
      <c r="A321" s="100" t="str">
        <f>MID(Page012[[#This Row],[Column5]],SEARCH("(",Page012[[#This Row],[Column5]])+1,SEARCH(")",Page012[[#This Row],[Column5]])-SEARCH("(",Page012[[#This Row],[Column5]])-1)</f>
        <v>20.62</v>
      </c>
      <c r="B321" s="68" t="s">
        <v>459</v>
      </c>
      <c r="C321" s="68" t="s">
        <v>292</v>
      </c>
      <c r="D321" s="68" t="s">
        <v>292</v>
      </c>
      <c r="E321" s="68" t="s">
        <v>460</v>
      </c>
      <c r="F321" s="68" t="s">
        <v>421</v>
      </c>
      <c r="G321" s="68">
        <v>221.91</v>
      </c>
      <c r="H321" s="100" t="str">
        <f>MID(Page012[[#This Row],[Column4]],SEARCH("(",Page012[[#This Row],[Column4]])+1,SEARCH(")",Page012[[#This Row],[Column4]])-SEARCH("(",Page012[[#This Row],[Column4]])-1)</f>
        <v>457</v>
      </c>
      <c r="I321" s="68">
        <v>457</v>
      </c>
      <c r="J321" s="68">
        <f t="shared" si="17"/>
        <v>0</v>
      </c>
      <c r="K321" s="68">
        <f t="shared" si="16"/>
        <v>0</v>
      </c>
      <c r="L321" s="100">
        <f t="shared" si="18"/>
        <v>-0.42486133646629831</v>
      </c>
      <c r="M321" s="68">
        <f t="shared" si="19"/>
        <v>10</v>
      </c>
    </row>
    <row r="322" spans="1:13">
      <c r="A322" s="100" t="str">
        <f>MID(Page012[[#This Row],[Column5]],SEARCH("(",Page012[[#This Row],[Column5]])+1,SEARCH(")",Page012[[#This Row],[Column5]])-SEARCH("(",Page012[[#This Row],[Column5]])-1)</f>
        <v>22.23</v>
      </c>
      <c r="B322" s="68" t="s">
        <v>459</v>
      </c>
      <c r="C322" s="68" t="s">
        <v>292</v>
      </c>
      <c r="D322" s="68" t="s">
        <v>292</v>
      </c>
      <c r="E322" s="68" t="s">
        <v>460</v>
      </c>
      <c r="F322" s="68" t="s">
        <v>409</v>
      </c>
      <c r="G322" s="68">
        <v>238.35</v>
      </c>
      <c r="H322" s="100" t="str">
        <f>MID(Page012[[#This Row],[Column4]],SEARCH("(",Page012[[#This Row],[Column4]])+1,SEARCH(")",Page012[[#This Row],[Column4]])-SEARCH("(",Page012[[#This Row],[Column4]])-1)</f>
        <v>457</v>
      </c>
      <c r="I322" s="68">
        <v>457</v>
      </c>
      <c r="J322" s="68">
        <f t="shared" si="17"/>
        <v>0</v>
      </c>
      <c r="K322" s="68">
        <f t="shared" ref="K322:K385" si="20">IF(IF(I322&gt;=$Q$3,I322,$Q$2+10)&lt;=$Q$2,A322,0)</f>
        <v>0</v>
      </c>
      <c r="L322" s="100">
        <f t="shared" si="18"/>
        <v>-0.42486133646629831</v>
      </c>
      <c r="M322" s="68">
        <f t="shared" si="19"/>
        <v>10</v>
      </c>
    </row>
    <row r="323" spans="1:13">
      <c r="A323" s="100" t="str">
        <f>MID(Page012[[#This Row],[Column5]],SEARCH("(",Page012[[#This Row],[Column5]])+1,SEARCH(")",Page012[[#This Row],[Column5]])-SEARCH("(",Page012[[#This Row],[Column5]])-1)</f>
        <v>23.83</v>
      </c>
      <c r="B323" s="68" t="s">
        <v>459</v>
      </c>
      <c r="C323" s="68" t="s">
        <v>292</v>
      </c>
      <c r="D323" s="68" t="s">
        <v>304</v>
      </c>
      <c r="E323" s="68" t="s">
        <v>460</v>
      </c>
      <c r="F323" s="68" t="s">
        <v>431</v>
      </c>
      <c r="G323" s="68">
        <v>254.37</v>
      </c>
      <c r="H323" s="100" t="str">
        <f>MID(Page012[[#This Row],[Column4]],SEARCH("(",Page012[[#This Row],[Column4]])+1,SEARCH(")",Page012[[#This Row],[Column4]])-SEARCH("(",Page012[[#This Row],[Column4]])-1)</f>
        <v>457</v>
      </c>
      <c r="I323" s="68">
        <v>457</v>
      </c>
      <c r="J323" s="68">
        <f t="shared" ref="J323:J386" si="21">IF(IF(I323&gt;=$Q$3,I323,$Q$2+10)&lt;=$Q$2,I323,0)</f>
        <v>0</v>
      </c>
      <c r="K323" s="68">
        <f t="shared" si="20"/>
        <v>0</v>
      </c>
      <c r="L323" s="100">
        <f t="shared" ref="L323:L386" si="22">K323-$Q$1</f>
        <v>-0.42486133646629831</v>
      </c>
      <c r="M323" s="68">
        <f t="shared" si="19"/>
        <v>10</v>
      </c>
    </row>
    <row r="324" spans="1:13">
      <c r="A324" s="100" t="str">
        <f>MID(Page012[[#This Row],[Column5]],SEARCH("(",Page012[[#This Row],[Column5]])+1,SEARCH(")",Page012[[#This Row],[Column5]])-SEARCH("(",Page012[[#This Row],[Column5]])-1)</f>
        <v>25.40</v>
      </c>
      <c r="B324" s="68" t="s">
        <v>459</v>
      </c>
      <c r="C324" s="68" t="s">
        <v>292</v>
      </c>
      <c r="D324" s="68" t="s">
        <v>292</v>
      </c>
      <c r="E324" s="68" t="s">
        <v>460</v>
      </c>
      <c r="F324" s="68" t="s">
        <v>423</v>
      </c>
      <c r="G324" s="68">
        <v>170.36</v>
      </c>
      <c r="H324" s="100" t="str">
        <f>MID(Page012[[#This Row],[Column4]],SEARCH("(",Page012[[#This Row],[Column4]])+1,SEARCH(")",Page012[[#This Row],[Column4]])-SEARCH("(",Page012[[#This Row],[Column4]])-1)</f>
        <v>457</v>
      </c>
      <c r="I324" s="68">
        <v>457</v>
      </c>
      <c r="J324" s="68">
        <f t="shared" si="21"/>
        <v>0</v>
      </c>
      <c r="K324" s="68">
        <f t="shared" si="20"/>
        <v>0</v>
      </c>
      <c r="L324" s="100">
        <f t="shared" si="22"/>
        <v>-0.42486133646629831</v>
      </c>
      <c r="M324" s="68">
        <f t="shared" ref="M324:M387" si="23">IF(L324&lt;0,10,L324)</f>
        <v>10</v>
      </c>
    </row>
    <row r="325" spans="1:13">
      <c r="A325" s="100" t="str">
        <f>MID(Page012[[#This Row],[Column5]],SEARCH("(",Page012[[#This Row],[Column5]])+1,SEARCH(")",Page012[[#This Row],[Column5]])-SEARCH("(",Page012[[#This Row],[Column5]])-1)</f>
        <v>26.97</v>
      </c>
      <c r="B325" s="68" t="s">
        <v>459</v>
      </c>
      <c r="C325" s="68" t="s">
        <v>292</v>
      </c>
      <c r="D325" s="68" t="s">
        <v>292</v>
      </c>
      <c r="E325" s="68" t="s">
        <v>460</v>
      </c>
      <c r="F325" s="68" t="s">
        <v>439</v>
      </c>
      <c r="G325" s="68">
        <v>286.06</v>
      </c>
      <c r="H325" s="100" t="str">
        <f>MID(Page012[[#This Row],[Column4]],SEARCH("(",Page012[[#This Row],[Column4]])+1,SEARCH(")",Page012[[#This Row],[Column4]])-SEARCH("(",Page012[[#This Row],[Column4]])-1)</f>
        <v>457</v>
      </c>
      <c r="I325" s="68">
        <v>457</v>
      </c>
      <c r="J325" s="68">
        <f t="shared" si="21"/>
        <v>0</v>
      </c>
      <c r="K325" s="68">
        <f t="shared" si="20"/>
        <v>0</v>
      </c>
      <c r="L325" s="100">
        <f t="shared" si="22"/>
        <v>-0.42486133646629831</v>
      </c>
      <c r="M325" s="68">
        <f t="shared" si="23"/>
        <v>10</v>
      </c>
    </row>
    <row r="326" spans="1:13">
      <c r="A326" s="100" t="str">
        <f>MID(Page012[[#This Row],[Column5]],SEARCH("(",Page012[[#This Row],[Column5]])+1,SEARCH(")",Page012[[#This Row],[Column5]])-SEARCH("(",Page012[[#This Row],[Column5]])-1)</f>
        <v>28.58</v>
      </c>
      <c r="B326" s="68" t="s">
        <v>459</v>
      </c>
      <c r="C326" s="68" t="s">
        <v>292</v>
      </c>
      <c r="D326" s="68" t="s">
        <v>292</v>
      </c>
      <c r="E326" s="68" t="s">
        <v>460</v>
      </c>
      <c r="F326" s="68" t="s">
        <v>432</v>
      </c>
      <c r="G326" s="68">
        <v>301.95999999999998</v>
      </c>
      <c r="H326" s="100" t="str">
        <f>MID(Page012[[#This Row],[Column4]],SEARCH("(",Page012[[#This Row],[Column4]])+1,SEARCH(")",Page012[[#This Row],[Column4]])-SEARCH("(",Page012[[#This Row],[Column4]])-1)</f>
        <v>457</v>
      </c>
      <c r="I326" s="68">
        <v>457</v>
      </c>
      <c r="J326" s="68">
        <f t="shared" si="21"/>
        <v>0</v>
      </c>
      <c r="K326" s="68">
        <f t="shared" si="20"/>
        <v>0</v>
      </c>
      <c r="L326" s="100">
        <f t="shared" si="22"/>
        <v>-0.42486133646629831</v>
      </c>
      <c r="M326" s="68">
        <f t="shared" si="23"/>
        <v>10</v>
      </c>
    </row>
    <row r="327" spans="1:13">
      <c r="A327" s="100" t="str">
        <f>MID(Page012[[#This Row],[Column5]],SEARCH("(",Page012[[#This Row],[Column5]])+1,SEARCH(")",Page012[[#This Row],[Column5]])-SEARCH("(",Page012[[#This Row],[Column5]])-1)</f>
        <v>29.36</v>
      </c>
      <c r="B327" s="68" t="s">
        <v>459</v>
      </c>
      <c r="C327" s="68" t="s">
        <v>292</v>
      </c>
      <c r="D327" s="68" t="s">
        <v>418</v>
      </c>
      <c r="E327" s="68" t="s">
        <v>460</v>
      </c>
      <c r="F327" s="68" t="s">
        <v>461</v>
      </c>
      <c r="G327" s="68">
        <v>309.64</v>
      </c>
      <c r="H327" s="100" t="str">
        <f>MID(Page012[[#This Row],[Column4]],SEARCH("(",Page012[[#This Row],[Column4]])+1,SEARCH(")",Page012[[#This Row],[Column4]])-SEARCH("(",Page012[[#This Row],[Column4]])-1)</f>
        <v>457</v>
      </c>
      <c r="I327" s="68">
        <v>457</v>
      </c>
      <c r="J327" s="68">
        <f t="shared" si="21"/>
        <v>0</v>
      </c>
      <c r="K327" s="68">
        <f t="shared" si="20"/>
        <v>0</v>
      </c>
      <c r="L327" s="100">
        <f t="shared" si="22"/>
        <v>-0.42486133646629831</v>
      </c>
      <c r="M327" s="68">
        <f t="shared" si="23"/>
        <v>10</v>
      </c>
    </row>
    <row r="328" spans="1:13">
      <c r="A328" s="100" t="str">
        <f>MID(Page012[[#This Row],[Column5]],SEARCH("(",Page012[[#This Row],[Column5]])+1,SEARCH(")",Page012[[#This Row],[Column5]])-SEARCH("(",Page012[[#This Row],[Column5]])-1)</f>
        <v>30.18</v>
      </c>
      <c r="B328" s="68" t="s">
        <v>459</v>
      </c>
      <c r="C328" s="68" t="s">
        <v>292</v>
      </c>
      <c r="D328" s="68" t="s">
        <v>292</v>
      </c>
      <c r="E328" s="68" t="s">
        <v>460</v>
      </c>
      <c r="F328" s="68" t="s">
        <v>455</v>
      </c>
      <c r="G328" s="68">
        <v>317.68</v>
      </c>
      <c r="H328" s="100" t="str">
        <f>MID(Page012[[#This Row],[Column4]],SEARCH("(",Page012[[#This Row],[Column4]])+1,SEARCH(")",Page012[[#This Row],[Column4]])-SEARCH("(",Page012[[#This Row],[Column4]])-1)</f>
        <v>457</v>
      </c>
      <c r="I328" s="68">
        <v>457</v>
      </c>
      <c r="J328" s="68">
        <f t="shared" si="21"/>
        <v>0</v>
      </c>
      <c r="K328" s="68">
        <f t="shared" si="20"/>
        <v>0</v>
      </c>
      <c r="L328" s="100">
        <f t="shared" si="22"/>
        <v>-0.42486133646629831</v>
      </c>
      <c r="M328" s="68">
        <f t="shared" si="23"/>
        <v>10</v>
      </c>
    </row>
    <row r="329" spans="1:13">
      <c r="A329" s="100" t="str">
        <f>MID(Page012[[#This Row],[Column5]],SEARCH("(",Page012[[#This Row],[Column5]])+1,SEARCH(")",Page012[[#This Row],[Column5]])-SEARCH("(",Page012[[#This Row],[Column5]])-1)</f>
        <v>31.75</v>
      </c>
      <c r="B329" s="68" t="s">
        <v>459</v>
      </c>
      <c r="C329" s="68" t="s">
        <v>292</v>
      </c>
      <c r="D329" s="68" t="s">
        <v>292</v>
      </c>
      <c r="E329" s="68" t="s">
        <v>460</v>
      </c>
      <c r="F329" s="68" t="s">
        <v>433</v>
      </c>
      <c r="G329" s="68">
        <v>332.97</v>
      </c>
      <c r="H329" s="100" t="str">
        <f>MID(Page012[[#This Row],[Column4]],SEARCH("(",Page012[[#This Row],[Column4]])+1,SEARCH(")",Page012[[#This Row],[Column4]])-SEARCH("(",Page012[[#This Row],[Column4]])-1)</f>
        <v>457</v>
      </c>
      <c r="I329" s="68">
        <v>457</v>
      </c>
      <c r="J329" s="68">
        <f t="shared" si="21"/>
        <v>0</v>
      </c>
      <c r="K329" s="68">
        <f t="shared" si="20"/>
        <v>0</v>
      </c>
      <c r="L329" s="100">
        <f t="shared" si="22"/>
        <v>-0.42486133646629831</v>
      </c>
      <c r="M329" s="68">
        <f t="shared" si="23"/>
        <v>10</v>
      </c>
    </row>
    <row r="330" spans="1:13">
      <c r="A330" s="100" t="str">
        <f>MID(Page012[[#This Row],[Column5]],SEARCH("(",Page012[[#This Row],[Column5]])+1,SEARCH(")",Page012[[#This Row],[Column5]])-SEARCH("(",Page012[[#This Row],[Column5]])-1)</f>
        <v>34.93</v>
      </c>
      <c r="B330" s="68" t="s">
        <v>459</v>
      </c>
      <c r="C330" s="68" t="s">
        <v>292</v>
      </c>
      <c r="D330" s="68" t="s">
        <v>392</v>
      </c>
      <c r="E330" s="68" t="s">
        <v>460</v>
      </c>
      <c r="F330" s="68" t="s">
        <v>462</v>
      </c>
      <c r="G330" s="68">
        <v>363.58</v>
      </c>
      <c r="H330" s="100" t="str">
        <f>MID(Page012[[#This Row],[Column4]],SEARCH("(",Page012[[#This Row],[Column4]])+1,SEARCH(")",Page012[[#This Row],[Column4]])-SEARCH("(",Page012[[#This Row],[Column4]])-1)</f>
        <v>457</v>
      </c>
      <c r="I330" s="68">
        <v>457</v>
      </c>
      <c r="J330" s="68">
        <f t="shared" si="21"/>
        <v>0</v>
      </c>
      <c r="K330" s="68">
        <f t="shared" si="20"/>
        <v>0</v>
      </c>
      <c r="L330" s="100">
        <f t="shared" si="22"/>
        <v>-0.42486133646629831</v>
      </c>
      <c r="M330" s="68">
        <f t="shared" si="23"/>
        <v>10</v>
      </c>
    </row>
    <row r="331" spans="1:13">
      <c r="A331" s="100" t="str">
        <f>MID(Page012[[#This Row],[Column5]],SEARCH("(",Page012[[#This Row],[Column5]])+1,SEARCH(")",Page012[[#This Row],[Column5]])-SEARCH("(",Page012[[#This Row],[Column5]])-1)</f>
        <v>39.67</v>
      </c>
      <c r="B331" s="68" t="s">
        <v>459</v>
      </c>
      <c r="C331" s="68" t="s">
        <v>292</v>
      </c>
      <c r="D331" s="68" t="s">
        <v>420</v>
      </c>
      <c r="E331" s="68" t="s">
        <v>460</v>
      </c>
      <c r="F331" s="68" t="s">
        <v>463</v>
      </c>
      <c r="G331" s="68">
        <v>408.28</v>
      </c>
      <c r="H331" s="100" t="str">
        <f>MID(Page012[[#This Row],[Column4]],SEARCH("(",Page012[[#This Row],[Column4]])+1,SEARCH(")",Page012[[#This Row],[Column4]])-SEARCH("(",Page012[[#This Row],[Column4]])-1)</f>
        <v>457</v>
      </c>
      <c r="I331" s="68">
        <v>457</v>
      </c>
      <c r="J331" s="68">
        <f t="shared" si="21"/>
        <v>0</v>
      </c>
      <c r="K331" s="68">
        <f t="shared" si="20"/>
        <v>0</v>
      </c>
      <c r="L331" s="100">
        <f t="shared" si="22"/>
        <v>-0.42486133646629831</v>
      </c>
      <c r="M331" s="68">
        <f t="shared" si="23"/>
        <v>10</v>
      </c>
    </row>
    <row r="332" spans="1:13">
      <c r="A332" s="100" t="str">
        <f>MID(Page012[[#This Row],[Column5]],SEARCH("(",Page012[[#This Row],[Column5]])+1,SEARCH(")",Page012[[#This Row],[Column5]])-SEARCH("(",Page012[[#This Row],[Column5]])-1)</f>
        <v>45.24</v>
      </c>
      <c r="B332" s="68" t="s">
        <v>459</v>
      </c>
      <c r="C332" s="68" t="s">
        <v>292</v>
      </c>
      <c r="D332" s="68" t="s">
        <v>306</v>
      </c>
      <c r="E332" s="68" t="s">
        <v>460</v>
      </c>
      <c r="F332" s="68" t="s">
        <v>464</v>
      </c>
      <c r="G332" s="68">
        <v>459.35</v>
      </c>
      <c r="H332" s="100" t="str">
        <f>MID(Page012[[#This Row],[Column4]],SEARCH("(",Page012[[#This Row],[Column4]])+1,SEARCH(")",Page012[[#This Row],[Column4]])-SEARCH("(",Page012[[#This Row],[Column4]])-1)</f>
        <v>457</v>
      </c>
      <c r="I332" s="68">
        <v>457</v>
      </c>
      <c r="J332" s="68">
        <f t="shared" si="21"/>
        <v>0</v>
      </c>
      <c r="K332" s="68">
        <f t="shared" si="20"/>
        <v>0</v>
      </c>
      <c r="L332" s="100">
        <f t="shared" si="22"/>
        <v>-0.42486133646629831</v>
      </c>
      <c r="M332" s="68">
        <f t="shared" si="23"/>
        <v>10</v>
      </c>
    </row>
    <row r="333" spans="1:13">
      <c r="A333" s="100" t="str">
        <f>MID(Page012[[#This Row],[Column5]],SEARCH("(",Page012[[#This Row],[Column5]])+1,SEARCH(")",Page012[[#This Row],[Column5]])-SEARCH("(",Page012[[#This Row],[Column5]])-1)</f>
        <v>4.78</v>
      </c>
      <c r="B333" s="68" t="s">
        <v>465</v>
      </c>
      <c r="C333" s="68" t="s">
        <v>292</v>
      </c>
      <c r="D333" s="68" t="s">
        <v>330</v>
      </c>
      <c r="E333" s="68" t="s">
        <v>466</v>
      </c>
      <c r="F333" s="68" t="s">
        <v>335</v>
      </c>
      <c r="G333" s="68">
        <v>59.32</v>
      </c>
      <c r="H333" s="100" t="str">
        <f>MID(Page012[[#This Row],[Column4]],SEARCH("(",Page012[[#This Row],[Column4]])+1,SEARCH(")",Page012[[#This Row],[Column4]])-SEARCH("(",Page012[[#This Row],[Column4]])-1)</f>
        <v>508</v>
      </c>
      <c r="I333" s="68">
        <v>508</v>
      </c>
      <c r="J333" s="68">
        <f t="shared" si="21"/>
        <v>0</v>
      </c>
      <c r="K333" s="68">
        <f t="shared" si="20"/>
        <v>0</v>
      </c>
      <c r="L333" s="100">
        <f t="shared" si="22"/>
        <v>-0.42486133646629831</v>
      </c>
      <c r="M333" s="68">
        <f t="shared" si="23"/>
        <v>10</v>
      </c>
    </row>
    <row r="334" spans="1:13">
      <c r="A334" s="100" t="str">
        <f>MID(Page012[[#This Row],[Column5]],SEARCH("(",Page012[[#This Row],[Column5]])+1,SEARCH(")",Page012[[#This Row],[Column5]])-SEARCH("(",Page012[[#This Row],[Column5]])-1)</f>
        <v>5.56</v>
      </c>
      <c r="B334" s="68" t="s">
        <v>465</v>
      </c>
      <c r="C334" s="68" t="s">
        <v>292</v>
      </c>
      <c r="D334" s="68" t="s">
        <v>292</v>
      </c>
      <c r="E334" s="68" t="s">
        <v>466</v>
      </c>
      <c r="F334" s="68" t="s">
        <v>341</v>
      </c>
      <c r="G334" s="68">
        <v>68.89</v>
      </c>
      <c r="H334" s="100" t="str">
        <f>MID(Page012[[#This Row],[Column4]],SEARCH("(",Page012[[#This Row],[Column4]])+1,SEARCH(")",Page012[[#This Row],[Column4]])-SEARCH("(",Page012[[#This Row],[Column4]])-1)</f>
        <v>508</v>
      </c>
      <c r="I334" s="68">
        <v>508</v>
      </c>
      <c r="J334" s="68">
        <f t="shared" si="21"/>
        <v>0</v>
      </c>
      <c r="K334" s="68">
        <f t="shared" si="20"/>
        <v>0</v>
      </c>
      <c r="L334" s="100">
        <f t="shared" si="22"/>
        <v>-0.42486133646629831</v>
      </c>
      <c r="M334" s="68">
        <f t="shared" si="23"/>
        <v>10</v>
      </c>
    </row>
    <row r="335" spans="1:13">
      <c r="A335" s="100" t="str">
        <f>MID(Page012[[#This Row],[Column5]],SEARCH("(",Page012[[#This Row],[Column5]])+1,SEARCH(")",Page012[[#This Row],[Column5]])-SEARCH("(",Page012[[#This Row],[Column5]])-1)</f>
        <v>6.35</v>
      </c>
      <c r="B335" s="68" t="s">
        <v>465</v>
      </c>
      <c r="C335" s="68" t="s">
        <v>292</v>
      </c>
      <c r="D335" s="68" t="s">
        <v>293</v>
      </c>
      <c r="E335" s="68" t="s">
        <v>466</v>
      </c>
      <c r="F335" s="68" t="s">
        <v>348</v>
      </c>
      <c r="G335" s="68">
        <v>78.56</v>
      </c>
      <c r="H335" s="100" t="str">
        <f>MID(Page012[[#This Row],[Column4]],SEARCH("(",Page012[[#This Row],[Column4]])+1,SEARCH(")",Page012[[#This Row],[Column4]])-SEARCH("(",Page012[[#This Row],[Column4]])-1)</f>
        <v>508</v>
      </c>
      <c r="I335" s="68">
        <v>508</v>
      </c>
      <c r="J335" s="68">
        <f t="shared" si="21"/>
        <v>0</v>
      </c>
      <c r="K335" s="68">
        <f t="shared" si="20"/>
        <v>0</v>
      </c>
      <c r="L335" s="100">
        <f t="shared" si="22"/>
        <v>-0.42486133646629831</v>
      </c>
      <c r="M335" s="68">
        <f t="shared" si="23"/>
        <v>10</v>
      </c>
    </row>
    <row r="336" spans="1:13">
      <c r="A336" s="100" t="str">
        <f>MID(Page012[[#This Row],[Column5]],SEARCH("(",Page012[[#This Row],[Column5]])+1,SEARCH(")",Page012[[#This Row],[Column5]])-SEARCH("(",Page012[[#This Row],[Column5]])-1)</f>
        <v>7.14</v>
      </c>
      <c r="B336" s="68" t="s">
        <v>465</v>
      </c>
      <c r="C336" s="68" t="s">
        <v>292</v>
      </c>
      <c r="D336" s="68" t="s">
        <v>292</v>
      </c>
      <c r="E336" s="68" t="s">
        <v>466</v>
      </c>
      <c r="F336" s="68" t="s">
        <v>360</v>
      </c>
      <c r="G336" s="68">
        <v>88.19</v>
      </c>
      <c r="H336" s="100" t="str">
        <f>MID(Page012[[#This Row],[Column4]],SEARCH("(",Page012[[#This Row],[Column4]])+1,SEARCH(")",Page012[[#This Row],[Column4]])-SEARCH("(",Page012[[#This Row],[Column4]])-1)</f>
        <v>508</v>
      </c>
      <c r="I336" s="68">
        <v>508</v>
      </c>
      <c r="J336" s="68">
        <f t="shared" si="21"/>
        <v>0</v>
      </c>
      <c r="K336" s="68">
        <f t="shared" si="20"/>
        <v>0</v>
      </c>
      <c r="L336" s="100">
        <f t="shared" si="22"/>
        <v>-0.42486133646629831</v>
      </c>
      <c r="M336" s="68">
        <f t="shared" si="23"/>
        <v>10</v>
      </c>
    </row>
    <row r="337" spans="1:13">
      <c r="A337" s="100" t="str">
        <f>MID(Page012[[#This Row],[Column5]],SEARCH("(",Page012[[#This Row],[Column5]])+1,SEARCH(")",Page012[[#This Row],[Column5]])-SEARCH("(",Page012[[#This Row],[Column5]])-1)</f>
        <v>7.92</v>
      </c>
      <c r="B337" s="68" t="s">
        <v>465</v>
      </c>
      <c r="C337" s="68" t="s">
        <v>292</v>
      </c>
      <c r="D337" s="68" t="s">
        <v>292</v>
      </c>
      <c r="E337" s="68" t="s">
        <v>466</v>
      </c>
      <c r="F337" s="68" t="s">
        <v>390</v>
      </c>
      <c r="G337" s="68">
        <v>97.68</v>
      </c>
      <c r="H337" s="100" t="str">
        <f>MID(Page012[[#This Row],[Column4]],SEARCH("(",Page012[[#This Row],[Column4]])+1,SEARCH(")",Page012[[#This Row],[Column4]])-SEARCH("(",Page012[[#This Row],[Column4]])-1)</f>
        <v>508</v>
      </c>
      <c r="I337" s="68">
        <v>508</v>
      </c>
      <c r="J337" s="68">
        <f t="shared" si="21"/>
        <v>0</v>
      </c>
      <c r="K337" s="68">
        <f t="shared" si="20"/>
        <v>0</v>
      </c>
      <c r="L337" s="100">
        <f t="shared" si="22"/>
        <v>-0.42486133646629831</v>
      </c>
      <c r="M337" s="68">
        <f t="shared" si="23"/>
        <v>10</v>
      </c>
    </row>
    <row r="338" spans="1:13">
      <c r="A338" s="100" t="str">
        <f>MID(Page012[[#This Row],[Column5]],SEARCH("(",Page012[[#This Row],[Column5]])+1,SEARCH(")",Page012[[#This Row],[Column5]])-SEARCH("(",Page012[[#This Row],[Column5]])-1)</f>
        <v>8.74</v>
      </c>
      <c r="B338" s="68" t="s">
        <v>465</v>
      </c>
      <c r="C338" s="68" t="s">
        <v>292</v>
      </c>
      <c r="D338" s="68" t="s">
        <v>292</v>
      </c>
      <c r="E338" s="68" t="s">
        <v>466</v>
      </c>
      <c r="F338" s="68" t="s">
        <v>367</v>
      </c>
      <c r="G338" s="68">
        <v>107.61</v>
      </c>
      <c r="H338" s="100" t="str">
        <f>MID(Page012[[#This Row],[Column4]],SEARCH("(",Page012[[#This Row],[Column4]])+1,SEARCH(")",Page012[[#This Row],[Column4]])-SEARCH("(",Page012[[#This Row],[Column4]])-1)</f>
        <v>508</v>
      </c>
      <c r="I338" s="68">
        <v>508</v>
      </c>
      <c r="J338" s="68">
        <f t="shared" si="21"/>
        <v>0</v>
      </c>
      <c r="K338" s="68">
        <f t="shared" si="20"/>
        <v>0</v>
      </c>
      <c r="L338" s="100">
        <f t="shared" si="22"/>
        <v>-0.42486133646629831</v>
      </c>
      <c r="M338" s="68">
        <f t="shared" si="23"/>
        <v>10</v>
      </c>
    </row>
    <row r="339" spans="1:13">
      <c r="A339" s="100" t="str">
        <f>MID(Page012[[#This Row],[Column5]],SEARCH("(",Page012[[#This Row],[Column5]])+1,SEARCH(")",Page012[[#This Row],[Column5]])-SEARCH("(",Page012[[#This Row],[Column5]])-1)</f>
        <v>9.53</v>
      </c>
      <c r="B339" s="68" t="s">
        <v>465</v>
      </c>
      <c r="C339" s="68" t="s">
        <v>300</v>
      </c>
      <c r="D339" s="68" t="s">
        <v>413</v>
      </c>
      <c r="E339" s="68" t="s">
        <v>466</v>
      </c>
      <c r="F339" s="68" t="s">
        <v>376</v>
      </c>
      <c r="G339" s="68">
        <v>117.15</v>
      </c>
      <c r="H339" s="100" t="str">
        <f>MID(Page012[[#This Row],[Column4]],SEARCH("(",Page012[[#This Row],[Column4]])+1,SEARCH(")",Page012[[#This Row],[Column4]])-SEARCH("(",Page012[[#This Row],[Column4]])-1)</f>
        <v>508</v>
      </c>
      <c r="I339" s="68">
        <v>508</v>
      </c>
      <c r="J339" s="68">
        <f t="shared" si="21"/>
        <v>0</v>
      </c>
      <c r="K339" s="68">
        <f t="shared" si="20"/>
        <v>0</v>
      </c>
      <c r="L339" s="100">
        <f t="shared" si="22"/>
        <v>-0.42486133646629831</v>
      </c>
      <c r="M339" s="68">
        <f t="shared" si="23"/>
        <v>10</v>
      </c>
    </row>
    <row r="340" spans="1:13">
      <c r="A340" s="100" t="str">
        <f>MID(Page012[[#This Row],[Column5]],SEARCH("(",Page012[[#This Row],[Column5]])+1,SEARCH(")",Page012[[#This Row],[Column5]])-SEARCH("(",Page012[[#This Row],[Column5]])-1)</f>
        <v>10.31</v>
      </c>
      <c r="B340" s="68" t="s">
        <v>465</v>
      </c>
      <c r="C340" s="68" t="s">
        <v>292</v>
      </c>
      <c r="D340" s="68" t="s">
        <v>292</v>
      </c>
      <c r="E340" s="68" t="s">
        <v>466</v>
      </c>
      <c r="F340" s="68" t="s">
        <v>417</v>
      </c>
      <c r="G340" s="68">
        <v>126.54</v>
      </c>
      <c r="H340" s="100" t="str">
        <f>MID(Page012[[#This Row],[Column4]],SEARCH("(",Page012[[#This Row],[Column4]])+1,SEARCH(")",Page012[[#This Row],[Column4]])-SEARCH("(",Page012[[#This Row],[Column4]])-1)</f>
        <v>508</v>
      </c>
      <c r="I340" s="68">
        <v>508</v>
      </c>
      <c r="J340" s="68">
        <f t="shared" si="21"/>
        <v>0</v>
      </c>
      <c r="K340" s="68">
        <f t="shared" si="20"/>
        <v>0</v>
      </c>
      <c r="L340" s="100">
        <f t="shared" si="22"/>
        <v>-0.42486133646629831</v>
      </c>
      <c r="M340" s="68">
        <f t="shared" si="23"/>
        <v>10</v>
      </c>
    </row>
    <row r="341" spans="1:13">
      <c r="A341" s="100" t="str">
        <f>MID(Page012[[#This Row],[Column5]],SEARCH("(",Page012[[#This Row],[Column5]])+1,SEARCH(")",Page012[[#This Row],[Column5]])-SEARCH("(",Page012[[#This Row],[Column5]])-1)</f>
        <v>11.13</v>
      </c>
      <c r="B341" s="68" t="s">
        <v>465</v>
      </c>
      <c r="C341" s="68" t="s">
        <v>292</v>
      </c>
      <c r="D341" s="68" t="s">
        <v>292</v>
      </c>
      <c r="E341" s="68" t="s">
        <v>466</v>
      </c>
      <c r="F341" s="68" t="s">
        <v>381</v>
      </c>
      <c r="G341" s="68">
        <v>136.38</v>
      </c>
      <c r="H341" s="100" t="str">
        <f>MID(Page012[[#This Row],[Column4]],SEARCH("(",Page012[[#This Row],[Column4]])+1,SEARCH(")",Page012[[#This Row],[Column4]])-SEARCH("(",Page012[[#This Row],[Column4]])-1)</f>
        <v>508</v>
      </c>
      <c r="I341" s="68">
        <v>508</v>
      </c>
      <c r="J341" s="68">
        <f t="shared" si="21"/>
        <v>0</v>
      </c>
      <c r="K341" s="68">
        <f t="shared" si="20"/>
        <v>0</v>
      </c>
      <c r="L341" s="100">
        <f t="shared" si="22"/>
        <v>-0.42486133646629831</v>
      </c>
      <c r="M341" s="68">
        <f t="shared" si="23"/>
        <v>10</v>
      </c>
    </row>
    <row r="342" spans="1:13">
      <c r="A342" s="100" t="str">
        <f>MID(Page012[[#This Row],[Column5]],SEARCH("(",Page012[[#This Row],[Column5]])+1,SEARCH(")",Page012[[#This Row],[Column5]])-SEARCH("(",Page012[[#This Row],[Column5]])-1)</f>
        <v>11.91</v>
      </c>
      <c r="B342" s="68" t="s">
        <v>465</v>
      </c>
      <c r="C342" s="68" t="s">
        <v>292</v>
      </c>
      <c r="D342" s="68" t="s">
        <v>292</v>
      </c>
      <c r="E342" s="68" t="s">
        <v>466</v>
      </c>
      <c r="F342" s="68" t="s">
        <v>444</v>
      </c>
      <c r="G342" s="68">
        <v>145.71</v>
      </c>
      <c r="H342" s="100" t="str">
        <f>MID(Page012[[#This Row],[Column4]],SEARCH("(",Page012[[#This Row],[Column4]])+1,SEARCH(")",Page012[[#This Row],[Column4]])-SEARCH("(",Page012[[#This Row],[Column4]])-1)</f>
        <v>508</v>
      </c>
      <c r="I342" s="68">
        <v>508</v>
      </c>
      <c r="J342" s="68">
        <f t="shared" si="21"/>
        <v>0</v>
      </c>
      <c r="K342" s="68">
        <f t="shared" si="20"/>
        <v>0</v>
      </c>
      <c r="L342" s="100">
        <f t="shared" si="22"/>
        <v>-0.42486133646629831</v>
      </c>
      <c r="M342" s="68">
        <f t="shared" si="23"/>
        <v>10</v>
      </c>
    </row>
    <row r="343" spans="1:13">
      <c r="A343" s="100" t="str">
        <f>MID(Page012[[#This Row],[Column5]],SEARCH("(",Page012[[#This Row],[Column5]])+1,SEARCH(")",Page012[[#This Row],[Column5]])-SEARCH("(",Page012[[#This Row],[Column5]])-1)</f>
        <v>12.70</v>
      </c>
      <c r="B343" s="68" t="s">
        <v>465</v>
      </c>
      <c r="C343" s="68" t="s">
        <v>303</v>
      </c>
      <c r="D343" s="68" t="s">
        <v>297</v>
      </c>
      <c r="E343" s="68" t="s">
        <v>466</v>
      </c>
      <c r="F343" s="68" t="s">
        <v>399</v>
      </c>
      <c r="G343" s="68">
        <v>155.13</v>
      </c>
      <c r="H343" s="100" t="str">
        <f>MID(Page012[[#This Row],[Column4]],SEARCH("(",Page012[[#This Row],[Column4]])+1,SEARCH(")",Page012[[#This Row],[Column4]])-SEARCH("(",Page012[[#This Row],[Column4]])-1)</f>
        <v>508</v>
      </c>
      <c r="I343" s="68">
        <v>508</v>
      </c>
      <c r="J343" s="68">
        <f t="shared" si="21"/>
        <v>0</v>
      </c>
      <c r="K343" s="68">
        <f t="shared" si="20"/>
        <v>0</v>
      </c>
      <c r="L343" s="100">
        <f t="shared" si="22"/>
        <v>-0.42486133646629831</v>
      </c>
      <c r="M343" s="68">
        <f t="shared" si="23"/>
        <v>10</v>
      </c>
    </row>
    <row r="344" spans="1:13">
      <c r="A344" s="100" t="str">
        <f>MID(Page012[[#This Row],[Column5]],SEARCH("(",Page012[[#This Row],[Column5]])+1,SEARCH(")",Page012[[#This Row],[Column5]])-SEARCH("(",Page012[[#This Row],[Column5]])-1)</f>
        <v>14.27</v>
      </c>
      <c r="B344" s="68" t="s">
        <v>465</v>
      </c>
      <c r="C344" s="68" t="s">
        <v>292</v>
      </c>
      <c r="D344" s="68" t="s">
        <v>292</v>
      </c>
      <c r="E344" s="68" t="s">
        <v>466</v>
      </c>
      <c r="F344" s="68" t="s">
        <v>406</v>
      </c>
      <c r="G344" s="68">
        <v>173.75</v>
      </c>
      <c r="H344" s="100" t="str">
        <f>MID(Page012[[#This Row],[Column4]],SEARCH("(",Page012[[#This Row],[Column4]])+1,SEARCH(")",Page012[[#This Row],[Column4]])-SEARCH("(",Page012[[#This Row],[Column4]])-1)</f>
        <v>508</v>
      </c>
      <c r="I344" s="68">
        <v>508</v>
      </c>
      <c r="J344" s="68">
        <f t="shared" si="21"/>
        <v>0</v>
      </c>
      <c r="K344" s="68">
        <f t="shared" si="20"/>
        <v>0</v>
      </c>
      <c r="L344" s="100">
        <f t="shared" si="22"/>
        <v>-0.42486133646629831</v>
      </c>
      <c r="M344" s="68">
        <f t="shared" si="23"/>
        <v>10</v>
      </c>
    </row>
    <row r="345" spans="1:13">
      <c r="A345" s="100" t="str">
        <f>MID(Page012[[#This Row],[Column5]],SEARCH("(",Page012[[#This Row],[Column5]])+1,SEARCH(")",Page012[[#This Row],[Column5]])-SEARCH("(",Page012[[#This Row],[Column5]])-1)</f>
        <v>15.09</v>
      </c>
      <c r="B345" s="68" t="s">
        <v>465</v>
      </c>
      <c r="C345" s="68" t="s">
        <v>292</v>
      </c>
      <c r="D345" s="68" t="s">
        <v>301</v>
      </c>
      <c r="E345" s="68" t="s">
        <v>466</v>
      </c>
      <c r="F345" s="68" t="s">
        <v>419</v>
      </c>
      <c r="G345" s="68">
        <v>183.43</v>
      </c>
      <c r="H345" s="100" t="str">
        <f>MID(Page012[[#This Row],[Column4]],SEARCH("(",Page012[[#This Row],[Column4]])+1,SEARCH(")",Page012[[#This Row],[Column4]])-SEARCH("(",Page012[[#This Row],[Column4]])-1)</f>
        <v>508</v>
      </c>
      <c r="I345" s="68">
        <v>508</v>
      </c>
      <c r="J345" s="68">
        <f t="shared" si="21"/>
        <v>0</v>
      </c>
      <c r="K345" s="68">
        <f t="shared" si="20"/>
        <v>0</v>
      </c>
      <c r="L345" s="100">
        <f t="shared" si="22"/>
        <v>-0.42486133646629831</v>
      </c>
      <c r="M345" s="68">
        <f t="shared" si="23"/>
        <v>10</v>
      </c>
    </row>
    <row r="346" spans="1:13">
      <c r="A346" s="100" t="str">
        <f>MID(Page012[[#This Row],[Column5]],SEARCH("(",Page012[[#This Row],[Column5]])+1,SEARCH(")",Page012[[#This Row],[Column5]])-SEARCH("(",Page012[[#This Row],[Column5]])-1)</f>
        <v>15.88</v>
      </c>
      <c r="B346" s="68" t="s">
        <v>465</v>
      </c>
      <c r="C346" s="68" t="s">
        <v>292</v>
      </c>
      <c r="D346" s="68" t="s">
        <v>292</v>
      </c>
      <c r="E346" s="68" t="s">
        <v>466</v>
      </c>
      <c r="F346" s="68" t="s">
        <v>400</v>
      </c>
      <c r="G346" s="68">
        <v>192.73</v>
      </c>
      <c r="H346" s="100" t="str">
        <f>MID(Page012[[#This Row],[Column4]],SEARCH("(",Page012[[#This Row],[Column4]])+1,SEARCH(")",Page012[[#This Row],[Column4]])-SEARCH("(",Page012[[#This Row],[Column4]])-1)</f>
        <v>508</v>
      </c>
      <c r="I346" s="68">
        <v>508</v>
      </c>
      <c r="J346" s="68">
        <f t="shared" si="21"/>
        <v>0</v>
      </c>
      <c r="K346" s="68">
        <f t="shared" si="20"/>
        <v>0</v>
      </c>
      <c r="L346" s="100">
        <f t="shared" si="22"/>
        <v>-0.42486133646629831</v>
      </c>
      <c r="M346" s="68">
        <f t="shared" si="23"/>
        <v>10</v>
      </c>
    </row>
    <row r="347" spans="1:13">
      <c r="A347" s="100" t="str">
        <f>MID(Page012[[#This Row],[Column5]],SEARCH("(",Page012[[#This Row],[Column5]])+1,SEARCH(")",Page012[[#This Row],[Column5]])-SEARCH("(",Page012[[#This Row],[Column5]])-1)</f>
        <v>17.48</v>
      </c>
      <c r="B347" s="68" t="s">
        <v>465</v>
      </c>
      <c r="C347" s="68" t="s">
        <v>292</v>
      </c>
      <c r="D347" s="68" t="s">
        <v>292</v>
      </c>
      <c r="E347" s="68" t="s">
        <v>466</v>
      </c>
      <c r="F347" s="68" t="s">
        <v>438</v>
      </c>
      <c r="G347" s="68">
        <v>211.45</v>
      </c>
      <c r="H347" s="100" t="str">
        <f>MID(Page012[[#This Row],[Column4]],SEARCH("(",Page012[[#This Row],[Column4]])+1,SEARCH(")",Page012[[#This Row],[Column4]])-SEARCH("(",Page012[[#This Row],[Column4]])-1)</f>
        <v>508</v>
      </c>
      <c r="I347" s="68">
        <v>508</v>
      </c>
      <c r="J347" s="68">
        <f t="shared" si="21"/>
        <v>0</v>
      </c>
      <c r="K347" s="68">
        <f t="shared" si="20"/>
        <v>0</v>
      </c>
      <c r="L347" s="100">
        <f t="shared" si="22"/>
        <v>-0.42486133646629831</v>
      </c>
      <c r="M347" s="68">
        <f t="shared" si="23"/>
        <v>10</v>
      </c>
    </row>
    <row r="348" spans="1:13">
      <c r="A348" s="100" t="str">
        <f>MID(Page012[[#This Row],[Column5]],SEARCH("(",Page012[[#This Row],[Column5]])+1,SEARCH(")",Page012[[#This Row],[Column5]])-SEARCH("(",Page012[[#This Row],[Column5]])-1)</f>
        <v>19.05</v>
      </c>
      <c r="B348" s="68" t="s">
        <v>465</v>
      </c>
      <c r="C348" s="68" t="s">
        <v>292</v>
      </c>
      <c r="D348" s="68" t="s">
        <v>292</v>
      </c>
      <c r="E348" s="68" t="s">
        <v>466</v>
      </c>
      <c r="F348" s="68" t="s">
        <v>401</v>
      </c>
      <c r="G348" s="68">
        <v>229.71</v>
      </c>
      <c r="H348" s="100" t="str">
        <f>MID(Page012[[#This Row],[Column4]],SEARCH("(",Page012[[#This Row],[Column4]])+1,SEARCH(")",Page012[[#This Row],[Column4]])-SEARCH("(",Page012[[#This Row],[Column4]])-1)</f>
        <v>508</v>
      </c>
      <c r="I348" s="68">
        <v>508</v>
      </c>
      <c r="J348" s="68">
        <f t="shared" si="21"/>
        <v>0</v>
      </c>
      <c r="K348" s="68">
        <f t="shared" si="20"/>
        <v>0</v>
      </c>
      <c r="L348" s="100">
        <f t="shared" si="22"/>
        <v>-0.42486133646629831</v>
      </c>
      <c r="M348" s="68">
        <f t="shared" si="23"/>
        <v>10</v>
      </c>
    </row>
    <row r="349" spans="1:13">
      <c r="A349" s="100" t="str">
        <f>MID(Page012[[#This Row],[Column5]],SEARCH("(",Page012[[#This Row],[Column5]])+1,SEARCH(")",Page012[[#This Row],[Column5]])-SEARCH("(",Page012[[#This Row],[Column5]])-1)</f>
        <v>20.62</v>
      </c>
      <c r="B349" s="68" t="s">
        <v>465</v>
      </c>
      <c r="C349" s="68" t="s">
        <v>292</v>
      </c>
      <c r="D349" s="68" t="s">
        <v>416</v>
      </c>
      <c r="E349" s="68" t="s">
        <v>466</v>
      </c>
      <c r="F349" s="68" t="s">
        <v>421</v>
      </c>
      <c r="G349" s="68">
        <v>247.84</v>
      </c>
      <c r="H349" s="100" t="str">
        <f>MID(Page012[[#This Row],[Column4]],SEARCH("(",Page012[[#This Row],[Column4]])+1,SEARCH(")",Page012[[#This Row],[Column4]])-SEARCH("(",Page012[[#This Row],[Column4]])-1)</f>
        <v>508</v>
      </c>
      <c r="I349" s="68">
        <v>508</v>
      </c>
      <c r="J349" s="68">
        <f t="shared" si="21"/>
        <v>0</v>
      </c>
      <c r="K349" s="68">
        <f t="shared" si="20"/>
        <v>0</v>
      </c>
      <c r="L349" s="100">
        <f t="shared" si="22"/>
        <v>-0.42486133646629831</v>
      </c>
      <c r="M349" s="68">
        <f t="shared" si="23"/>
        <v>10</v>
      </c>
    </row>
    <row r="350" spans="1:13">
      <c r="A350" s="100" t="str">
        <f>MID(Page012[[#This Row],[Column5]],SEARCH("(",Page012[[#This Row],[Column5]])+1,SEARCH(")",Page012[[#This Row],[Column5]])-SEARCH("(",Page012[[#This Row],[Column5]])-1)</f>
        <v>22.23</v>
      </c>
      <c r="B350" s="68" t="s">
        <v>465</v>
      </c>
      <c r="C350" s="68" t="s">
        <v>292</v>
      </c>
      <c r="D350" s="68" t="s">
        <v>292</v>
      </c>
      <c r="E350" s="68" t="s">
        <v>466</v>
      </c>
      <c r="F350" s="68" t="s">
        <v>409</v>
      </c>
      <c r="G350" s="68">
        <v>266.31</v>
      </c>
      <c r="H350" s="100" t="str">
        <f>MID(Page012[[#This Row],[Column4]],SEARCH("(",Page012[[#This Row],[Column4]])+1,SEARCH(")",Page012[[#This Row],[Column4]])-SEARCH("(",Page012[[#This Row],[Column4]])-1)</f>
        <v>508</v>
      </c>
      <c r="I350" s="68">
        <v>508</v>
      </c>
      <c r="J350" s="68">
        <f t="shared" si="21"/>
        <v>0</v>
      </c>
      <c r="K350" s="68">
        <f t="shared" si="20"/>
        <v>0</v>
      </c>
      <c r="L350" s="100">
        <f t="shared" si="22"/>
        <v>-0.42486133646629831</v>
      </c>
      <c r="M350" s="68">
        <f t="shared" si="23"/>
        <v>10</v>
      </c>
    </row>
    <row r="351" spans="1:13">
      <c r="A351" s="100" t="str">
        <f>MID(Page012[[#This Row],[Column5]],SEARCH("(",Page012[[#This Row],[Column5]])+1,SEARCH(")",Page012[[#This Row],[Column5]])-SEARCH("(",Page012[[#This Row],[Column5]])-1)</f>
        <v>23.83</v>
      </c>
      <c r="B351" s="68" t="s">
        <v>465</v>
      </c>
      <c r="C351" s="68" t="s">
        <v>292</v>
      </c>
      <c r="D351" s="68" t="s">
        <v>292</v>
      </c>
      <c r="E351" s="68" t="s">
        <v>466</v>
      </c>
      <c r="F351" s="68" t="s">
        <v>431</v>
      </c>
      <c r="G351" s="68">
        <v>284.54000000000002</v>
      </c>
      <c r="H351" s="100" t="str">
        <f>MID(Page012[[#This Row],[Column4]],SEARCH("(",Page012[[#This Row],[Column4]])+1,SEARCH(")",Page012[[#This Row],[Column4]])-SEARCH("(",Page012[[#This Row],[Column4]])-1)</f>
        <v>508</v>
      </c>
      <c r="I351" s="68">
        <v>508</v>
      </c>
      <c r="J351" s="68">
        <f t="shared" si="21"/>
        <v>0</v>
      </c>
      <c r="K351" s="68">
        <f t="shared" si="20"/>
        <v>0</v>
      </c>
      <c r="L351" s="100">
        <f t="shared" si="22"/>
        <v>-0.42486133646629831</v>
      </c>
      <c r="M351" s="68">
        <f t="shared" si="23"/>
        <v>10</v>
      </c>
    </row>
    <row r="352" spans="1:13">
      <c r="A352" s="100" t="str">
        <f>MID(Page012[[#This Row],[Column5]],SEARCH("(",Page012[[#This Row],[Column5]])+1,SEARCH(")",Page012[[#This Row],[Column5]])-SEARCH("(",Page012[[#This Row],[Column5]])-1)</f>
        <v>25.40</v>
      </c>
      <c r="B352" s="68" t="s">
        <v>465</v>
      </c>
      <c r="C352" s="68" t="s">
        <v>292</v>
      </c>
      <c r="D352" s="68" t="s">
        <v>292</v>
      </c>
      <c r="E352" s="68" t="s">
        <v>466</v>
      </c>
      <c r="F352" s="68" t="s">
        <v>423</v>
      </c>
      <c r="G352" s="68">
        <v>302.3</v>
      </c>
      <c r="H352" s="100" t="str">
        <f>MID(Page012[[#This Row],[Column4]],SEARCH("(",Page012[[#This Row],[Column4]])+1,SEARCH(")",Page012[[#This Row],[Column4]])-SEARCH("(",Page012[[#This Row],[Column4]])-1)</f>
        <v>508</v>
      </c>
      <c r="I352" s="68">
        <v>508</v>
      </c>
      <c r="J352" s="68">
        <f t="shared" si="21"/>
        <v>0</v>
      </c>
      <c r="K352" s="68">
        <f t="shared" si="20"/>
        <v>0</v>
      </c>
      <c r="L352" s="100">
        <f t="shared" si="22"/>
        <v>-0.42486133646629831</v>
      </c>
      <c r="M352" s="68">
        <f t="shared" si="23"/>
        <v>10</v>
      </c>
    </row>
    <row r="353" spans="1:13">
      <c r="A353" s="100" t="str">
        <f>MID(Page012[[#This Row],[Column5]],SEARCH("(",Page012[[#This Row],[Column5]])+1,SEARCH(")",Page012[[#This Row],[Column5]])-SEARCH("(",Page012[[#This Row],[Column5]])-1)</f>
        <v>26.19</v>
      </c>
      <c r="B353" s="68" t="s">
        <v>465</v>
      </c>
      <c r="C353" s="68" t="s">
        <v>292</v>
      </c>
      <c r="D353" s="68" t="s">
        <v>304</v>
      </c>
      <c r="E353" s="68" t="s">
        <v>466</v>
      </c>
      <c r="F353" s="68" t="s">
        <v>454</v>
      </c>
      <c r="G353" s="68">
        <v>311.19</v>
      </c>
      <c r="H353" s="100" t="str">
        <f>MID(Page012[[#This Row],[Column4]],SEARCH("(",Page012[[#This Row],[Column4]])+1,SEARCH(")",Page012[[#This Row],[Column4]])-SEARCH("(",Page012[[#This Row],[Column4]])-1)</f>
        <v>508</v>
      </c>
      <c r="I353" s="68">
        <v>508</v>
      </c>
      <c r="J353" s="68">
        <f t="shared" si="21"/>
        <v>0</v>
      </c>
      <c r="K353" s="68">
        <f t="shared" si="20"/>
        <v>0</v>
      </c>
      <c r="L353" s="100">
        <f t="shared" si="22"/>
        <v>-0.42486133646629831</v>
      </c>
      <c r="M353" s="68">
        <f t="shared" si="23"/>
        <v>10</v>
      </c>
    </row>
    <row r="354" spans="1:13">
      <c r="A354" s="100" t="str">
        <f>MID(Page012[[#This Row],[Column5]],SEARCH("(",Page012[[#This Row],[Column5]])+1,SEARCH(")",Page012[[#This Row],[Column5]])-SEARCH("(",Page012[[#This Row],[Column5]])-1)</f>
        <v>26.97</v>
      </c>
      <c r="B354" s="68" t="s">
        <v>465</v>
      </c>
      <c r="C354" s="68" t="s">
        <v>292</v>
      </c>
      <c r="D354" s="68" t="s">
        <v>292</v>
      </c>
      <c r="E354" s="68" t="s">
        <v>466</v>
      </c>
      <c r="F354" s="68" t="s">
        <v>439</v>
      </c>
      <c r="G354" s="68">
        <v>319.94</v>
      </c>
      <c r="H354" s="100" t="str">
        <f>MID(Page012[[#This Row],[Column4]],SEARCH("(",Page012[[#This Row],[Column4]])+1,SEARCH(")",Page012[[#This Row],[Column4]])-SEARCH("(",Page012[[#This Row],[Column4]])-1)</f>
        <v>508</v>
      </c>
      <c r="I354" s="68">
        <v>508</v>
      </c>
      <c r="J354" s="68">
        <f t="shared" si="21"/>
        <v>0</v>
      </c>
      <c r="K354" s="68">
        <f t="shared" si="20"/>
        <v>0</v>
      </c>
      <c r="L354" s="100">
        <f t="shared" si="22"/>
        <v>-0.42486133646629831</v>
      </c>
      <c r="M354" s="68">
        <f t="shared" si="23"/>
        <v>10</v>
      </c>
    </row>
    <row r="355" spans="1:13">
      <c r="A355" s="100" t="str">
        <f>MID(Page012[[#This Row],[Column5]],SEARCH("(",Page012[[#This Row],[Column5]])+1,SEARCH(")",Page012[[#This Row],[Column5]])-SEARCH("(",Page012[[#This Row],[Column5]])-1)</f>
        <v>28.58</v>
      </c>
      <c r="B355" s="68" t="s">
        <v>465</v>
      </c>
      <c r="C355" s="68" t="s">
        <v>292</v>
      </c>
      <c r="D355" s="68" t="s">
        <v>292</v>
      </c>
      <c r="E355" s="68" t="s">
        <v>466</v>
      </c>
      <c r="F355" s="68" t="s">
        <v>432</v>
      </c>
      <c r="G355" s="68">
        <v>337.91</v>
      </c>
      <c r="H355" s="100" t="str">
        <f>MID(Page012[[#This Row],[Column4]],SEARCH("(",Page012[[#This Row],[Column4]])+1,SEARCH(")",Page012[[#This Row],[Column4]])-SEARCH("(",Page012[[#This Row],[Column4]])-1)</f>
        <v>508</v>
      </c>
      <c r="I355" s="68">
        <v>508</v>
      </c>
      <c r="J355" s="68">
        <f t="shared" si="21"/>
        <v>0</v>
      </c>
      <c r="K355" s="68">
        <f t="shared" si="20"/>
        <v>0</v>
      </c>
      <c r="L355" s="100">
        <f t="shared" si="22"/>
        <v>-0.42486133646629831</v>
      </c>
      <c r="M355" s="68">
        <f t="shared" si="23"/>
        <v>10</v>
      </c>
    </row>
    <row r="356" spans="1:13">
      <c r="A356" s="100" t="str">
        <f>MID(Page012[[#This Row],[Column5]],SEARCH("(",Page012[[#This Row],[Column5]])+1,SEARCH(")",Page012[[#This Row],[Column5]])-SEARCH("(",Page012[[#This Row],[Column5]])-1)</f>
        <v>30.18</v>
      </c>
      <c r="B356" s="68" t="s">
        <v>465</v>
      </c>
      <c r="C356" s="68" t="s">
        <v>292</v>
      </c>
      <c r="D356" s="68" t="s">
        <v>292</v>
      </c>
      <c r="E356" s="68" t="s">
        <v>466</v>
      </c>
      <c r="F356" s="68" t="s">
        <v>455</v>
      </c>
      <c r="G356" s="68">
        <v>355.93</v>
      </c>
      <c r="H356" s="100" t="str">
        <f>MID(Page012[[#This Row],[Column4]],SEARCH("(",Page012[[#This Row],[Column4]])+1,SEARCH(")",Page012[[#This Row],[Column4]])-SEARCH("(",Page012[[#This Row],[Column4]])-1)</f>
        <v>508</v>
      </c>
      <c r="I356" s="68">
        <v>508</v>
      </c>
      <c r="J356" s="68">
        <f t="shared" si="21"/>
        <v>0</v>
      </c>
      <c r="K356" s="68">
        <f t="shared" si="20"/>
        <v>0</v>
      </c>
      <c r="L356" s="100">
        <f t="shared" si="22"/>
        <v>-0.42486133646629831</v>
      </c>
      <c r="M356" s="68">
        <f t="shared" si="23"/>
        <v>10</v>
      </c>
    </row>
    <row r="357" spans="1:13">
      <c r="A357" s="100" t="str">
        <f>MID(Page012[[#This Row],[Column5]],SEARCH("(",Page012[[#This Row],[Column5]])+1,SEARCH(")",Page012[[#This Row],[Column5]])-SEARCH("(",Page012[[#This Row],[Column5]])-1)</f>
        <v>31.75</v>
      </c>
      <c r="B357" s="68" t="s">
        <v>465</v>
      </c>
      <c r="C357" s="68" t="s">
        <v>292</v>
      </c>
      <c r="D357" s="68" t="s">
        <v>292</v>
      </c>
      <c r="E357" s="68" t="s">
        <v>466</v>
      </c>
      <c r="F357" s="68" t="s">
        <v>433</v>
      </c>
      <c r="G357" s="68">
        <v>372.91</v>
      </c>
      <c r="H357" s="100" t="str">
        <f>MID(Page012[[#This Row],[Column4]],SEARCH("(",Page012[[#This Row],[Column4]])+1,SEARCH(")",Page012[[#This Row],[Column4]])-SEARCH("(",Page012[[#This Row],[Column4]])-1)</f>
        <v>508</v>
      </c>
      <c r="I357" s="68">
        <v>508</v>
      </c>
      <c r="J357" s="68">
        <f t="shared" si="21"/>
        <v>0</v>
      </c>
      <c r="K357" s="68">
        <f t="shared" si="20"/>
        <v>0</v>
      </c>
      <c r="L357" s="100">
        <f t="shared" si="22"/>
        <v>-0.42486133646629831</v>
      </c>
      <c r="M357" s="68">
        <f t="shared" si="23"/>
        <v>10</v>
      </c>
    </row>
    <row r="358" spans="1:13">
      <c r="A358" s="100" t="str">
        <f>MID(Page012[[#This Row],[Column5]],SEARCH("(",Page012[[#This Row],[Column5]])+1,SEARCH(")",Page012[[#This Row],[Column5]])-SEARCH("(",Page012[[#This Row],[Column5]])-1)</f>
        <v>32.54</v>
      </c>
      <c r="B358" s="68" t="s">
        <v>465</v>
      </c>
      <c r="C358" s="68" t="s">
        <v>292</v>
      </c>
      <c r="D358" s="68" t="s">
        <v>418</v>
      </c>
      <c r="E358" s="68" t="s">
        <v>466</v>
      </c>
      <c r="F358" s="68" t="s">
        <v>467</v>
      </c>
      <c r="G358" s="68">
        <v>381.55</v>
      </c>
      <c r="H358" s="100" t="str">
        <f>MID(Page012[[#This Row],[Column4]],SEARCH("(",Page012[[#This Row],[Column4]])+1,SEARCH(")",Page012[[#This Row],[Column4]])-SEARCH("(",Page012[[#This Row],[Column4]])-1)</f>
        <v>508</v>
      </c>
      <c r="I358" s="68">
        <v>508</v>
      </c>
      <c r="J358" s="68">
        <f t="shared" si="21"/>
        <v>0</v>
      </c>
      <c r="K358" s="68">
        <f t="shared" si="20"/>
        <v>0</v>
      </c>
      <c r="L358" s="100">
        <f t="shared" si="22"/>
        <v>-0.42486133646629831</v>
      </c>
      <c r="M358" s="68">
        <f t="shared" si="23"/>
        <v>10</v>
      </c>
    </row>
    <row r="359" spans="1:13">
      <c r="A359" s="100" t="str">
        <f>MID(Page012[[#This Row],[Column5]],SEARCH("(",Page012[[#This Row],[Column5]])+1,SEARCH(")",Page012[[#This Row],[Column5]])-SEARCH("(",Page012[[#This Row],[Column5]])-1)</f>
        <v>33.32</v>
      </c>
      <c r="B359" s="68" t="s">
        <v>465</v>
      </c>
      <c r="C359" s="68" t="s">
        <v>292</v>
      </c>
      <c r="D359" s="68" t="s">
        <v>292</v>
      </c>
      <c r="E359" s="68" t="s">
        <v>466</v>
      </c>
      <c r="F359" s="68" t="s">
        <v>440</v>
      </c>
      <c r="G359" s="68">
        <v>390.5</v>
      </c>
      <c r="H359" s="100" t="str">
        <f>MID(Page012[[#This Row],[Column4]],SEARCH("(",Page012[[#This Row],[Column4]])+1,SEARCH(")",Page012[[#This Row],[Column4]])-SEARCH("(",Page012[[#This Row],[Column4]])-1)</f>
        <v>508</v>
      </c>
      <c r="I359" s="68">
        <v>508</v>
      </c>
      <c r="J359" s="68">
        <f t="shared" si="21"/>
        <v>0</v>
      </c>
      <c r="K359" s="68">
        <f t="shared" si="20"/>
        <v>0</v>
      </c>
      <c r="L359" s="100">
        <f t="shared" si="22"/>
        <v>-0.42486133646629831</v>
      </c>
      <c r="M359" s="68">
        <f t="shared" si="23"/>
        <v>10</v>
      </c>
    </row>
    <row r="360" spans="1:13">
      <c r="A360" s="100" t="str">
        <f>MID(Page012[[#This Row],[Column5]],SEARCH("(",Page012[[#This Row],[Column5]])+1,SEARCH(")",Page012[[#This Row],[Column5]])-SEARCH("(",Page012[[#This Row],[Column5]])-1)</f>
        <v>34.93</v>
      </c>
      <c r="B360" s="68" t="s">
        <v>465</v>
      </c>
      <c r="C360" s="68" t="s">
        <v>292</v>
      </c>
      <c r="D360" s="68" t="s">
        <v>292</v>
      </c>
      <c r="E360" s="68" t="s">
        <v>466</v>
      </c>
      <c r="F360" s="68" t="s">
        <v>462</v>
      </c>
      <c r="G360" s="68">
        <v>407.51</v>
      </c>
      <c r="H360" s="100" t="str">
        <f>MID(Page012[[#This Row],[Column4]],SEARCH("(",Page012[[#This Row],[Column4]])+1,SEARCH(")",Page012[[#This Row],[Column4]])-SEARCH("(",Page012[[#This Row],[Column4]])-1)</f>
        <v>508</v>
      </c>
      <c r="I360" s="68">
        <v>508</v>
      </c>
      <c r="J360" s="68">
        <f t="shared" si="21"/>
        <v>0</v>
      </c>
      <c r="K360" s="68">
        <f t="shared" si="20"/>
        <v>0</v>
      </c>
      <c r="L360" s="100">
        <f t="shared" si="22"/>
        <v>-0.42486133646629831</v>
      </c>
      <c r="M360" s="68">
        <f t="shared" si="23"/>
        <v>10</v>
      </c>
    </row>
    <row r="361" spans="1:13">
      <c r="A361" s="100" t="str">
        <f>MID(Page012[[#This Row],[Column5]],SEARCH("(",Page012[[#This Row],[Column5]])+1,SEARCH(")",Page012[[#This Row],[Column5]])-SEARCH("(",Page012[[#This Row],[Column5]])-1)</f>
        <v>38.10</v>
      </c>
      <c r="B361" s="68" t="s">
        <v>465</v>
      </c>
      <c r="C361" s="68" t="s">
        <v>292</v>
      </c>
      <c r="D361" s="68" t="s">
        <v>392</v>
      </c>
      <c r="E361" s="68" t="s">
        <v>466</v>
      </c>
      <c r="F361" s="68" t="s">
        <v>468</v>
      </c>
      <c r="G361" s="68">
        <v>441.52</v>
      </c>
      <c r="H361" s="100" t="str">
        <f>MID(Page012[[#This Row],[Column4]],SEARCH("(",Page012[[#This Row],[Column4]])+1,SEARCH(")",Page012[[#This Row],[Column4]])-SEARCH("(",Page012[[#This Row],[Column4]])-1)</f>
        <v>508</v>
      </c>
      <c r="I361" s="68">
        <v>508</v>
      </c>
      <c r="J361" s="68">
        <f t="shared" si="21"/>
        <v>0</v>
      </c>
      <c r="K361" s="68">
        <f t="shared" si="20"/>
        <v>0</v>
      </c>
      <c r="L361" s="100">
        <f t="shared" si="22"/>
        <v>-0.42486133646629831</v>
      </c>
      <c r="M361" s="68">
        <f t="shared" si="23"/>
        <v>10</v>
      </c>
    </row>
    <row r="362" spans="1:13">
      <c r="A362" s="100" t="str">
        <f>MID(Page012[[#This Row],[Column5]],SEARCH("(",Page012[[#This Row],[Column5]])+1,SEARCH(")",Page012[[#This Row],[Column5]])-SEARCH("(",Page012[[#This Row],[Column5]])-1)</f>
        <v>44.45</v>
      </c>
      <c r="B362" s="68" t="s">
        <v>465</v>
      </c>
      <c r="C362" s="68" t="s">
        <v>292</v>
      </c>
      <c r="D362" s="68" t="s">
        <v>420</v>
      </c>
      <c r="E362" s="68" t="s">
        <v>466</v>
      </c>
      <c r="F362" s="68" t="s">
        <v>469</v>
      </c>
      <c r="G362" s="68">
        <v>508.15</v>
      </c>
      <c r="H362" s="100" t="str">
        <f>MID(Page012[[#This Row],[Column4]],SEARCH("(",Page012[[#This Row],[Column4]])+1,SEARCH(")",Page012[[#This Row],[Column4]])-SEARCH("(",Page012[[#This Row],[Column4]])-1)</f>
        <v>508</v>
      </c>
      <c r="I362" s="68">
        <v>508</v>
      </c>
      <c r="J362" s="68">
        <f t="shared" si="21"/>
        <v>0</v>
      </c>
      <c r="K362" s="68">
        <f t="shared" si="20"/>
        <v>0</v>
      </c>
      <c r="L362" s="100">
        <f t="shared" si="22"/>
        <v>-0.42486133646629831</v>
      </c>
      <c r="M362" s="68">
        <f t="shared" si="23"/>
        <v>10</v>
      </c>
    </row>
    <row r="363" spans="1:13">
      <c r="A363" s="100" t="str">
        <f>MID(Page012[[#This Row],[Column5]],SEARCH("(",Page012[[#This Row],[Column5]])+1,SEARCH(")",Page012[[#This Row],[Column5]])-SEARCH("(",Page012[[#This Row],[Column5]])-1)</f>
        <v>50.01</v>
      </c>
      <c r="B363" s="68" t="s">
        <v>465</v>
      </c>
      <c r="C363" s="68" t="s">
        <v>292</v>
      </c>
      <c r="D363" s="68" t="s">
        <v>306</v>
      </c>
      <c r="E363" s="68" t="s">
        <v>466</v>
      </c>
      <c r="F363" s="68" t="s">
        <v>470</v>
      </c>
      <c r="G363" s="68">
        <v>564.85</v>
      </c>
      <c r="H363" s="100" t="str">
        <f>MID(Page012[[#This Row],[Column4]],SEARCH("(",Page012[[#This Row],[Column4]])+1,SEARCH(")",Page012[[#This Row],[Column4]])-SEARCH("(",Page012[[#This Row],[Column4]])-1)</f>
        <v>508</v>
      </c>
      <c r="I363" s="68">
        <v>508</v>
      </c>
      <c r="J363" s="68">
        <f t="shared" si="21"/>
        <v>0</v>
      </c>
      <c r="K363" s="68">
        <f t="shared" si="20"/>
        <v>0</v>
      </c>
      <c r="L363" s="100">
        <f t="shared" si="22"/>
        <v>-0.42486133646629831</v>
      </c>
      <c r="M363" s="68">
        <f t="shared" si="23"/>
        <v>10</v>
      </c>
    </row>
    <row r="364" spans="1:13">
      <c r="A364" s="100" t="str">
        <f>MID(Page012[[#This Row],[Column5]],SEARCH("(",Page012[[#This Row],[Column5]])+1,SEARCH(")",Page012[[#This Row],[Column5]])-SEARCH("(",Page012[[#This Row],[Column5]])-1)</f>
        <v>4.78</v>
      </c>
      <c r="B364" s="68" t="s">
        <v>471</v>
      </c>
      <c r="C364" s="68" t="s">
        <v>292</v>
      </c>
      <c r="D364" s="68" t="s">
        <v>330</v>
      </c>
      <c r="E364" s="68" t="s">
        <v>472</v>
      </c>
      <c r="F364" s="68" t="s">
        <v>335</v>
      </c>
      <c r="G364" s="68">
        <v>65.33</v>
      </c>
      <c r="H364" s="100" t="str">
        <f>MID(Page012[[#This Row],[Column4]],SEARCH("(",Page012[[#This Row],[Column4]])+1,SEARCH(")",Page012[[#This Row],[Column4]])-SEARCH("(",Page012[[#This Row],[Column4]])-1)</f>
        <v>559</v>
      </c>
      <c r="I364" s="68">
        <v>559</v>
      </c>
      <c r="J364" s="68">
        <f t="shared" si="21"/>
        <v>559</v>
      </c>
      <c r="K364" s="68" t="str">
        <f t="shared" si="20"/>
        <v>4.78</v>
      </c>
      <c r="L364" s="100">
        <f t="shared" si="22"/>
        <v>4.3551386635337019</v>
      </c>
      <c r="M364" s="68">
        <f t="shared" si="23"/>
        <v>4.3551386635337019</v>
      </c>
    </row>
    <row r="365" spans="1:13">
      <c r="A365" s="100" t="str">
        <f>MID(Page012[[#This Row],[Column5]],SEARCH("(",Page012[[#This Row],[Column5]])+1,SEARCH(")",Page012[[#This Row],[Column5]])-SEARCH("(",Page012[[#This Row],[Column5]])-1)</f>
        <v>5.56</v>
      </c>
      <c r="B365" s="68" t="s">
        <v>471</v>
      </c>
      <c r="C365" s="68" t="s">
        <v>292</v>
      </c>
      <c r="D365" s="68" t="s">
        <v>292</v>
      </c>
      <c r="E365" s="68" t="s">
        <v>472</v>
      </c>
      <c r="F365" s="68" t="s">
        <v>341</v>
      </c>
      <c r="G365" s="68">
        <v>75.89</v>
      </c>
      <c r="H365" s="100" t="str">
        <f>MID(Page012[[#This Row],[Column4]],SEARCH("(",Page012[[#This Row],[Column4]])+1,SEARCH(")",Page012[[#This Row],[Column4]])-SEARCH("(",Page012[[#This Row],[Column4]])-1)</f>
        <v>559</v>
      </c>
      <c r="I365" s="68">
        <v>559</v>
      </c>
      <c r="J365" s="68">
        <f t="shared" si="21"/>
        <v>559</v>
      </c>
      <c r="K365" s="68" t="str">
        <f t="shared" si="20"/>
        <v>5.56</v>
      </c>
      <c r="L365" s="100">
        <f t="shared" si="22"/>
        <v>5.1351386635337013</v>
      </c>
      <c r="M365" s="68">
        <f t="shared" si="23"/>
        <v>5.1351386635337013</v>
      </c>
    </row>
    <row r="366" spans="1:13">
      <c r="A366" s="100" t="str">
        <f>MID(Page012[[#This Row],[Column5]],SEARCH("(",Page012[[#This Row],[Column5]])+1,SEARCH(")",Page012[[#This Row],[Column5]])-SEARCH("(",Page012[[#This Row],[Column5]])-1)</f>
        <v>6.35</v>
      </c>
      <c r="B366" s="68" t="s">
        <v>471</v>
      </c>
      <c r="C366" s="68" t="s">
        <v>292</v>
      </c>
      <c r="D366" s="68" t="s">
        <v>293</v>
      </c>
      <c r="E366" s="68" t="s">
        <v>472</v>
      </c>
      <c r="F366" s="68" t="s">
        <v>348</v>
      </c>
      <c r="G366" s="68">
        <v>86.55</v>
      </c>
      <c r="H366" s="100" t="str">
        <f>MID(Page012[[#This Row],[Column4]],SEARCH("(",Page012[[#This Row],[Column4]])+1,SEARCH(")",Page012[[#This Row],[Column4]])-SEARCH("(",Page012[[#This Row],[Column4]])-1)</f>
        <v>559</v>
      </c>
      <c r="I366" s="68">
        <v>559</v>
      </c>
      <c r="J366" s="68">
        <f t="shared" si="21"/>
        <v>559</v>
      </c>
      <c r="K366" s="68" t="str">
        <f t="shared" si="20"/>
        <v>6.35</v>
      </c>
      <c r="L366" s="100">
        <f t="shared" si="22"/>
        <v>5.9251386635337013</v>
      </c>
      <c r="M366" s="68">
        <f t="shared" si="23"/>
        <v>5.9251386635337013</v>
      </c>
    </row>
    <row r="367" spans="1:13">
      <c r="A367" s="100" t="str">
        <f>MID(Page012[[#This Row],[Column5]],SEARCH("(",Page012[[#This Row],[Column5]])+1,SEARCH(")",Page012[[#This Row],[Column5]])-SEARCH("(",Page012[[#This Row],[Column5]])-1)</f>
        <v>7.14</v>
      </c>
      <c r="B367" s="68" t="s">
        <v>471</v>
      </c>
      <c r="C367" s="68" t="s">
        <v>292</v>
      </c>
      <c r="D367" s="68" t="s">
        <v>292</v>
      </c>
      <c r="E367" s="68" t="s">
        <v>472</v>
      </c>
      <c r="F367" s="68" t="s">
        <v>360</v>
      </c>
      <c r="G367" s="68">
        <v>97.17</v>
      </c>
      <c r="H367" s="100" t="str">
        <f>MID(Page012[[#This Row],[Column4]],SEARCH("(",Page012[[#This Row],[Column4]])+1,SEARCH(")",Page012[[#This Row],[Column4]])-SEARCH("(",Page012[[#This Row],[Column4]])-1)</f>
        <v>559</v>
      </c>
      <c r="I367" s="68">
        <v>559</v>
      </c>
      <c r="J367" s="68">
        <f t="shared" si="21"/>
        <v>559</v>
      </c>
      <c r="K367" s="68" t="str">
        <f t="shared" si="20"/>
        <v>7.14</v>
      </c>
      <c r="L367" s="100">
        <f t="shared" si="22"/>
        <v>6.7151386635337014</v>
      </c>
      <c r="M367" s="68">
        <f t="shared" si="23"/>
        <v>6.7151386635337014</v>
      </c>
    </row>
    <row r="368" spans="1:13">
      <c r="A368" s="100" t="str">
        <f>MID(Page012[[#This Row],[Column5]],SEARCH("(",Page012[[#This Row],[Column5]])+1,SEARCH(")",Page012[[#This Row],[Column5]])-SEARCH("(",Page012[[#This Row],[Column5]])-1)</f>
        <v>7.92</v>
      </c>
      <c r="B368" s="68" t="s">
        <v>471</v>
      </c>
      <c r="C368" s="68" t="s">
        <v>292</v>
      </c>
      <c r="D368" s="68" t="s">
        <v>292</v>
      </c>
      <c r="E368" s="68" t="s">
        <v>472</v>
      </c>
      <c r="F368" s="68" t="s">
        <v>390</v>
      </c>
      <c r="G368" s="68">
        <v>107.64</v>
      </c>
      <c r="H368" s="100" t="str">
        <f>MID(Page012[[#This Row],[Column4]],SEARCH("(",Page012[[#This Row],[Column4]])+1,SEARCH(")",Page012[[#This Row],[Column4]])-SEARCH("(",Page012[[#This Row],[Column4]])-1)</f>
        <v>559</v>
      </c>
      <c r="I368" s="68">
        <v>559</v>
      </c>
      <c r="J368" s="68">
        <f t="shared" si="21"/>
        <v>559</v>
      </c>
      <c r="K368" s="68" t="str">
        <f t="shared" si="20"/>
        <v>7.92</v>
      </c>
      <c r="L368" s="100">
        <f t="shared" si="22"/>
        <v>7.4951386635337016</v>
      </c>
      <c r="M368" s="68">
        <f t="shared" si="23"/>
        <v>7.4951386635337016</v>
      </c>
    </row>
    <row r="369" spans="1:13">
      <c r="A369" s="100" t="str">
        <f>MID(Page012[[#This Row],[Column5]],SEARCH("(",Page012[[#This Row],[Column5]])+1,SEARCH(")",Page012[[#This Row],[Column5]])-SEARCH("(",Page012[[#This Row],[Column5]])-1)</f>
        <v>8.74</v>
      </c>
      <c r="B369" s="68" t="s">
        <v>471</v>
      </c>
      <c r="C369" s="68" t="s">
        <v>292</v>
      </c>
      <c r="D369" s="68" t="s">
        <v>292</v>
      </c>
      <c r="E369" s="68" t="s">
        <v>472</v>
      </c>
      <c r="F369" s="68" t="s">
        <v>367</v>
      </c>
      <c r="G369" s="68">
        <v>118.6</v>
      </c>
      <c r="H369" s="100" t="str">
        <f>MID(Page012[[#This Row],[Column4]],SEARCH("(",Page012[[#This Row],[Column4]])+1,SEARCH(")",Page012[[#This Row],[Column4]])-SEARCH("(",Page012[[#This Row],[Column4]])-1)</f>
        <v>559</v>
      </c>
      <c r="I369" s="68">
        <v>559</v>
      </c>
      <c r="J369" s="68">
        <f t="shared" si="21"/>
        <v>559</v>
      </c>
      <c r="K369" s="68" t="str">
        <f t="shared" si="20"/>
        <v>8.74</v>
      </c>
      <c r="L369" s="100">
        <f t="shared" si="22"/>
        <v>8.3151386635337019</v>
      </c>
      <c r="M369" s="68">
        <f t="shared" si="23"/>
        <v>8.3151386635337019</v>
      </c>
    </row>
    <row r="370" spans="1:13">
      <c r="A370" s="100" t="str">
        <f>MID(Page012[[#This Row],[Column5]],SEARCH("(",Page012[[#This Row],[Column5]])+1,SEARCH(")",Page012[[#This Row],[Column5]])-SEARCH("(",Page012[[#This Row],[Column5]])-1)</f>
        <v>9.53</v>
      </c>
      <c r="B370" s="68" t="s">
        <v>471</v>
      </c>
      <c r="C370" s="68" t="s">
        <v>300</v>
      </c>
      <c r="D370" s="68" t="s">
        <v>413</v>
      </c>
      <c r="E370" s="68" t="s">
        <v>472</v>
      </c>
      <c r="F370" s="68" t="s">
        <v>376</v>
      </c>
      <c r="G370" s="68">
        <v>129.13999999999999</v>
      </c>
      <c r="H370" s="100" t="str">
        <f>MID(Page012[[#This Row],[Column4]],SEARCH("(",Page012[[#This Row],[Column4]])+1,SEARCH(")",Page012[[#This Row],[Column4]])-SEARCH("(",Page012[[#This Row],[Column4]])-1)</f>
        <v>559</v>
      </c>
      <c r="I370" s="68">
        <v>559</v>
      </c>
      <c r="J370" s="68">
        <f t="shared" si="21"/>
        <v>559</v>
      </c>
      <c r="K370" s="68" t="str">
        <f t="shared" si="20"/>
        <v>9.53</v>
      </c>
      <c r="L370" s="100">
        <f t="shared" si="22"/>
        <v>9.105138663533701</v>
      </c>
      <c r="M370" s="68">
        <f t="shared" si="23"/>
        <v>9.105138663533701</v>
      </c>
    </row>
    <row r="371" spans="1:13">
      <c r="A371" s="100" t="str">
        <f>MID(Page012[[#This Row],[Column5]],SEARCH("(",Page012[[#This Row],[Column5]])+1,SEARCH(")",Page012[[#This Row],[Column5]])-SEARCH("(",Page012[[#This Row],[Column5]])-1)</f>
        <v>10.31</v>
      </c>
      <c r="B371" s="68" t="s">
        <v>471</v>
      </c>
      <c r="C371" s="68" t="s">
        <v>292</v>
      </c>
      <c r="D371" s="68" t="s">
        <v>292</v>
      </c>
      <c r="E371" s="68" t="s">
        <v>472</v>
      </c>
      <c r="F371" s="68" t="s">
        <v>417</v>
      </c>
      <c r="G371" s="68">
        <v>139.51</v>
      </c>
      <c r="H371" s="100" t="str">
        <f>MID(Page012[[#This Row],[Column4]],SEARCH("(",Page012[[#This Row],[Column4]])+1,SEARCH(")",Page012[[#This Row],[Column4]])-SEARCH("(",Page012[[#This Row],[Column4]])-1)</f>
        <v>559</v>
      </c>
      <c r="I371" s="68">
        <v>559</v>
      </c>
      <c r="J371" s="68">
        <f t="shared" si="21"/>
        <v>559</v>
      </c>
      <c r="K371" s="68" t="str">
        <f t="shared" si="20"/>
        <v>10.31</v>
      </c>
      <c r="L371" s="100">
        <f t="shared" si="22"/>
        <v>9.8851386635337022</v>
      </c>
      <c r="M371" s="68">
        <f t="shared" si="23"/>
        <v>9.8851386635337022</v>
      </c>
    </row>
    <row r="372" spans="1:13">
      <c r="A372" s="100" t="str">
        <f>MID(Page012[[#This Row],[Column5]],SEARCH("(",Page012[[#This Row],[Column5]])+1,SEARCH(")",Page012[[#This Row],[Column5]])-SEARCH("(",Page012[[#This Row],[Column5]])-1)</f>
        <v>11.13</v>
      </c>
      <c r="B372" s="68" t="s">
        <v>471</v>
      </c>
      <c r="C372" s="68" t="s">
        <v>292</v>
      </c>
      <c r="D372" s="68" t="s">
        <v>292</v>
      </c>
      <c r="E372" s="68" t="s">
        <v>472</v>
      </c>
      <c r="F372" s="68" t="s">
        <v>381</v>
      </c>
      <c r="G372" s="68">
        <v>150.38</v>
      </c>
      <c r="H372" s="100" t="str">
        <f>MID(Page012[[#This Row],[Column4]],SEARCH("(",Page012[[#This Row],[Column4]])+1,SEARCH(")",Page012[[#This Row],[Column4]])-SEARCH("(",Page012[[#This Row],[Column4]])-1)</f>
        <v>559</v>
      </c>
      <c r="I372" s="68">
        <v>559</v>
      </c>
      <c r="J372" s="68">
        <f t="shared" si="21"/>
        <v>559</v>
      </c>
      <c r="K372" s="68" t="str">
        <f t="shared" si="20"/>
        <v>11.13</v>
      </c>
      <c r="L372" s="100">
        <f t="shared" si="22"/>
        <v>10.705138663533702</v>
      </c>
      <c r="M372" s="68">
        <f t="shared" si="23"/>
        <v>10.705138663533702</v>
      </c>
    </row>
    <row r="373" spans="1:13">
      <c r="A373" s="100" t="str">
        <f>MID(Page012[[#This Row],[Column5]],SEARCH("(",Page012[[#This Row],[Column5]])+1,SEARCH(")",Page012[[#This Row],[Column5]])-SEARCH("(",Page012[[#This Row],[Column5]])-1)</f>
        <v>11.91</v>
      </c>
      <c r="B373" s="68" t="s">
        <v>471</v>
      </c>
      <c r="C373" s="68" t="s">
        <v>292</v>
      </c>
      <c r="D373" s="68" t="s">
        <v>292</v>
      </c>
      <c r="E373" s="68" t="s">
        <v>472</v>
      </c>
      <c r="F373" s="68" t="s">
        <v>444</v>
      </c>
      <c r="G373" s="68">
        <v>160.69</v>
      </c>
      <c r="H373" s="100" t="str">
        <f>MID(Page012[[#This Row],[Column4]],SEARCH("(",Page012[[#This Row],[Column4]])+1,SEARCH(")",Page012[[#This Row],[Column4]])-SEARCH("(",Page012[[#This Row],[Column4]])-1)</f>
        <v>559</v>
      </c>
      <c r="I373" s="68">
        <v>559</v>
      </c>
      <c r="J373" s="68">
        <f t="shared" si="21"/>
        <v>559</v>
      </c>
      <c r="K373" s="68" t="str">
        <f t="shared" si="20"/>
        <v>11.91</v>
      </c>
      <c r="L373" s="100">
        <f t="shared" si="22"/>
        <v>11.485138663533702</v>
      </c>
      <c r="M373" s="68">
        <f t="shared" si="23"/>
        <v>11.485138663533702</v>
      </c>
    </row>
    <row r="374" spans="1:13">
      <c r="A374" s="100" t="str">
        <f>MID(Page012[[#This Row],[Column5]],SEARCH("(",Page012[[#This Row],[Column5]])+1,SEARCH(")",Page012[[#This Row],[Column5]])-SEARCH("(",Page012[[#This Row],[Column5]])-1)</f>
        <v>12.70</v>
      </c>
      <c r="B374" s="68" t="s">
        <v>471</v>
      </c>
      <c r="C374" s="68" t="s">
        <v>303</v>
      </c>
      <c r="D374" s="68" t="s">
        <v>297</v>
      </c>
      <c r="E374" s="68" t="s">
        <v>472</v>
      </c>
      <c r="F374" s="68" t="s">
        <v>399</v>
      </c>
      <c r="G374" s="68">
        <v>171.1</v>
      </c>
      <c r="H374" s="100" t="str">
        <f>MID(Page012[[#This Row],[Column4]],SEARCH("(",Page012[[#This Row],[Column4]])+1,SEARCH(")",Page012[[#This Row],[Column4]])-SEARCH("(",Page012[[#This Row],[Column4]])-1)</f>
        <v>559</v>
      </c>
      <c r="I374" s="68">
        <v>559</v>
      </c>
      <c r="J374" s="68">
        <f t="shared" si="21"/>
        <v>559</v>
      </c>
      <c r="K374" s="68" t="str">
        <f t="shared" si="20"/>
        <v>12.70</v>
      </c>
      <c r="L374" s="100">
        <f t="shared" si="22"/>
        <v>12.275138663533701</v>
      </c>
      <c r="M374" s="68">
        <f t="shared" si="23"/>
        <v>12.275138663533701</v>
      </c>
    </row>
    <row r="375" spans="1:13">
      <c r="A375" s="100" t="str">
        <f>MID(Page012[[#This Row],[Column5]],SEARCH("(",Page012[[#This Row],[Column5]])+1,SEARCH(")",Page012[[#This Row],[Column5]])-SEARCH("(",Page012[[#This Row],[Column5]])-1)</f>
        <v>14.27</v>
      </c>
      <c r="B375" s="68" t="s">
        <v>471</v>
      </c>
      <c r="C375" s="68" t="s">
        <v>292</v>
      </c>
      <c r="D375" s="68" t="s">
        <v>292</v>
      </c>
      <c r="E375" s="68" t="s">
        <v>472</v>
      </c>
      <c r="F375" s="68" t="s">
        <v>406</v>
      </c>
      <c r="G375" s="68">
        <v>191.7</v>
      </c>
      <c r="H375" s="100" t="str">
        <f>MID(Page012[[#This Row],[Column4]],SEARCH("(",Page012[[#This Row],[Column4]])+1,SEARCH(")",Page012[[#This Row],[Column4]])-SEARCH("(",Page012[[#This Row],[Column4]])-1)</f>
        <v>559</v>
      </c>
      <c r="I375" s="68">
        <v>559</v>
      </c>
      <c r="J375" s="68">
        <f t="shared" si="21"/>
        <v>559</v>
      </c>
      <c r="K375" s="68" t="str">
        <f t="shared" si="20"/>
        <v>14.27</v>
      </c>
      <c r="L375" s="100">
        <f t="shared" si="22"/>
        <v>13.845138663533701</v>
      </c>
      <c r="M375" s="68">
        <f t="shared" si="23"/>
        <v>13.845138663533701</v>
      </c>
    </row>
    <row r="376" spans="1:13">
      <c r="A376" s="100" t="str">
        <f>MID(Page012[[#This Row],[Column5]],SEARCH("(",Page012[[#This Row],[Column5]])+1,SEARCH(")",Page012[[#This Row],[Column5]])-SEARCH("(",Page012[[#This Row],[Column5]])-1)</f>
        <v>15.88</v>
      </c>
      <c r="B376" s="68" t="s">
        <v>471</v>
      </c>
      <c r="C376" s="68" t="s">
        <v>292</v>
      </c>
      <c r="D376" s="68" t="s">
        <v>292</v>
      </c>
      <c r="E376" s="68" t="s">
        <v>472</v>
      </c>
      <c r="F376" s="68" t="s">
        <v>400</v>
      </c>
      <c r="G376" s="68">
        <v>212.7</v>
      </c>
      <c r="H376" s="100" t="str">
        <f>MID(Page012[[#This Row],[Column4]],SEARCH("(",Page012[[#This Row],[Column4]])+1,SEARCH(")",Page012[[#This Row],[Column4]])-SEARCH("(",Page012[[#This Row],[Column4]])-1)</f>
        <v>559</v>
      </c>
      <c r="I376" s="68">
        <v>559</v>
      </c>
      <c r="J376" s="68">
        <f t="shared" si="21"/>
        <v>559</v>
      </c>
      <c r="K376" s="68" t="str">
        <f t="shared" si="20"/>
        <v>15.88</v>
      </c>
      <c r="L376" s="100">
        <f t="shared" si="22"/>
        <v>15.455138663533702</v>
      </c>
      <c r="M376" s="68">
        <f t="shared" si="23"/>
        <v>15.455138663533702</v>
      </c>
    </row>
    <row r="377" spans="1:13">
      <c r="A377" s="100" t="str">
        <f>MID(Page012[[#This Row],[Column5]],SEARCH("(",Page012[[#This Row],[Column5]])+1,SEARCH(")",Page012[[#This Row],[Column5]])-SEARCH("(",Page012[[#This Row],[Column5]])-1)</f>
        <v>17.48</v>
      </c>
      <c r="B377" s="68" t="s">
        <v>471</v>
      </c>
      <c r="C377" s="68" t="s">
        <v>292</v>
      </c>
      <c r="D377" s="68" t="s">
        <v>292</v>
      </c>
      <c r="E377" s="68" t="s">
        <v>472</v>
      </c>
      <c r="F377" s="68" t="s">
        <v>438</v>
      </c>
      <c r="G377" s="68">
        <v>233.44</v>
      </c>
      <c r="H377" s="100" t="str">
        <f>MID(Page012[[#This Row],[Column4]],SEARCH("(",Page012[[#This Row],[Column4]])+1,SEARCH(")",Page012[[#This Row],[Column4]])-SEARCH("(",Page012[[#This Row],[Column4]])-1)</f>
        <v>559</v>
      </c>
      <c r="I377" s="68">
        <v>559</v>
      </c>
      <c r="J377" s="68">
        <f t="shared" si="21"/>
        <v>559</v>
      </c>
      <c r="K377" s="68" t="str">
        <f t="shared" si="20"/>
        <v>17.48</v>
      </c>
      <c r="L377" s="100">
        <f t="shared" si="22"/>
        <v>17.055138663533704</v>
      </c>
      <c r="M377" s="68">
        <f t="shared" si="23"/>
        <v>17.055138663533704</v>
      </c>
    </row>
    <row r="378" spans="1:13">
      <c r="A378" s="100" t="str">
        <f>MID(Page012[[#This Row],[Column5]],SEARCH("(",Page012[[#This Row],[Column5]])+1,SEARCH(")",Page012[[#This Row],[Column5]])-SEARCH("(",Page012[[#This Row],[Column5]])-1)</f>
        <v>19.05</v>
      </c>
      <c r="B378" s="68" t="s">
        <v>471</v>
      </c>
      <c r="C378" s="68" t="s">
        <v>292</v>
      </c>
      <c r="D378" s="68" t="s">
        <v>292</v>
      </c>
      <c r="E378" s="68" t="s">
        <v>472</v>
      </c>
      <c r="F378" s="68" t="s">
        <v>401</v>
      </c>
      <c r="G378" s="68">
        <v>253.67</v>
      </c>
      <c r="H378" s="100" t="str">
        <f>MID(Page012[[#This Row],[Column4]],SEARCH("(",Page012[[#This Row],[Column4]])+1,SEARCH(")",Page012[[#This Row],[Column4]])-SEARCH("(",Page012[[#This Row],[Column4]])-1)</f>
        <v>559</v>
      </c>
      <c r="I378" s="68">
        <v>559</v>
      </c>
      <c r="J378" s="68">
        <f t="shared" si="21"/>
        <v>559</v>
      </c>
      <c r="K378" s="68" t="str">
        <f t="shared" si="20"/>
        <v>19.05</v>
      </c>
      <c r="L378" s="100">
        <f t="shared" si="22"/>
        <v>18.625138663533704</v>
      </c>
      <c r="M378" s="68">
        <f t="shared" si="23"/>
        <v>18.625138663533704</v>
      </c>
    </row>
    <row r="379" spans="1:13">
      <c r="A379" s="100" t="str">
        <f>MID(Page012[[#This Row],[Column5]],SEARCH("(",Page012[[#This Row],[Column5]])+1,SEARCH(")",Page012[[#This Row],[Column5]])-SEARCH("(",Page012[[#This Row],[Column5]])-1)</f>
        <v>20.62</v>
      </c>
      <c r="B379" s="68" t="s">
        <v>471</v>
      </c>
      <c r="C379" s="68" t="s">
        <v>292</v>
      </c>
      <c r="D379" s="68" t="s">
        <v>292</v>
      </c>
      <c r="E379" s="68" t="s">
        <v>472</v>
      </c>
      <c r="F379" s="68" t="s">
        <v>421</v>
      </c>
      <c r="G379" s="68">
        <v>273.64999999999998</v>
      </c>
      <c r="H379" s="100" t="str">
        <f>MID(Page012[[#This Row],[Column4]],SEARCH("(",Page012[[#This Row],[Column4]])+1,SEARCH(")",Page012[[#This Row],[Column4]])-SEARCH("(",Page012[[#This Row],[Column4]])-1)</f>
        <v>559</v>
      </c>
      <c r="I379" s="68">
        <v>559</v>
      </c>
      <c r="J379" s="68">
        <f t="shared" si="21"/>
        <v>559</v>
      </c>
      <c r="K379" s="68" t="str">
        <f t="shared" si="20"/>
        <v>20.62</v>
      </c>
      <c r="L379" s="100">
        <f t="shared" si="22"/>
        <v>20.195138663533704</v>
      </c>
      <c r="M379" s="68">
        <f t="shared" si="23"/>
        <v>20.195138663533704</v>
      </c>
    </row>
    <row r="380" spans="1:13">
      <c r="A380" s="100" t="str">
        <f>MID(Page012[[#This Row],[Column5]],SEARCH("(",Page012[[#This Row],[Column5]])+1,SEARCH(")",Page012[[#This Row],[Column5]])-SEARCH("(",Page012[[#This Row],[Column5]])-1)</f>
        <v>22.23</v>
      </c>
      <c r="B380" s="68" t="s">
        <v>471</v>
      </c>
      <c r="C380" s="68" t="s">
        <v>292</v>
      </c>
      <c r="D380" s="68" t="s">
        <v>416</v>
      </c>
      <c r="E380" s="68" t="s">
        <v>472</v>
      </c>
      <c r="F380" s="68" t="s">
        <v>409</v>
      </c>
      <c r="G380" s="68">
        <v>294.27</v>
      </c>
      <c r="H380" s="100" t="str">
        <f>MID(Page012[[#This Row],[Column4]],SEARCH("(",Page012[[#This Row],[Column4]])+1,SEARCH(")",Page012[[#This Row],[Column4]])-SEARCH("(",Page012[[#This Row],[Column4]])-1)</f>
        <v>559</v>
      </c>
      <c r="I380" s="68">
        <v>559</v>
      </c>
      <c r="J380" s="68">
        <f t="shared" si="21"/>
        <v>559</v>
      </c>
      <c r="K380" s="68" t="str">
        <f t="shared" si="20"/>
        <v>22.23</v>
      </c>
      <c r="L380" s="100">
        <f t="shared" si="22"/>
        <v>21.805138663533704</v>
      </c>
      <c r="M380" s="68">
        <f t="shared" si="23"/>
        <v>21.805138663533704</v>
      </c>
    </row>
    <row r="381" spans="1:13">
      <c r="A381" s="100" t="str">
        <f>MID(Page012[[#This Row],[Column5]],SEARCH("(",Page012[[#This Row],[Column5]])+1,SEARCH(")",Page012[[#This Row],[Column5]])-SEARCH("(",Page012[[#This Row],[Column5]])-1)</f>
        <v>23.83</v>
      </c>
      <c r="B381" s="68" t="s">
        <v>471</v>
      </c>
      <c r="C381" s="68" t="s">
        <v>292</v>
      </c>
      <c r="D381" s="68" t="s">
        <v>292</v>
      </c>
      <c r="E381" s="68" t="s">
        <v>472</v>
      </c>
      <c r="F381" s="68" t="s">
        <v>431</v>
      </c>
      <c r="G381" s="68">
        <v>314.51</v>
      </c>
      <c r="H381" s="100" t="str">
        <f>MID(Page012[[#This Row],[Column4]],SEARCH("(",Page012[[#This Row],[Column4]])+1,SEARCH(")",Page012[[#This Row],[Column4]])-SEARCH("(",Page012[[#This Row],[Column4]])-1)</f>
        <v>559</v>
      </c>
      <c r="I381" s="68">
        <v>559</v>
      </c>
      <c r="J381" s="68">
        <f t="shared" si="21"/>
        <v>559</v>
      </c>
      <c r="K381" s="68" t="str">
        <f t="shared" si="20"/>
        <v>23.83</v>
      </c>
      <c r="L381" s="100">
        <f t="shared" si="22"/>
        <v>23.405138663533698</v>
      </c>
      <c r="M381" s="68">
        <f t="shared" si="23"/>
        <v>23.405138663533698</v>
      </c>
    </row>
    <row r="382" spans="1:13">
      <c r="A382" s="100" t="str">
        <f>MID(Page012[[#This Row],[Column5]],SEARCH("(",Page012[[#This Row],[Column5]])+1,SEARCH(")",Page012[[#This Row],[Column5]])-SEARCH("(",Page012[[#This Row],[Column5]])-1)</f>
        <v>25.40</v>
      </c>
      <c r="B382" s="68" t="s">
        <v>471</v>
      </c>
      <c r="C382" s="68" t="s">
        <v>292</v>
      </c>
      <c r="D382" s="68" t="s">
        <v>292</v>
      </c>
      <c r="E382" s="68" t="s">
        <v>472</v>
      </c>
      <c r="F382" s="68" t="s">
        <v>423</v>
      </c>
      <c r="G382" s="68">
        <v>334.25</v>
      </c>
      <c r="H382" s="100" t="str">
        <f>MID(Page012[[#This Row],[Column4]],SEARCH("(",Page012[[#This Row],[Column4]])+1,SEARCH(")",Page012[[#This Row],[Column4]])-SEARCH("(",Page012[[#This Row],[Column4]])-1)</f>
        <v>559</v>
      </c>
      <c r="I382" s="68">
        <v>559</v>
      </c>
      <c r="J382" s="68">
        <f t="shared" si="21"/>
        <v>559</v>
      </c>
      <c r="K382" s="68" t="str">
        <f t="shared" si="20"/>
        <v>25.40</v>
      </c>
      <c r="L382" s="100">
        <f t="shared" si="22"/>
        <v>24.975138663533698</v>
      </c>
      <c r="M382" s="68">
        <f t="shared" si="23"/>
        <v>24.975138663533698</v>
      </c>
    </row>
    <row r="383" spans="1:13">
      <c r="A383" s="100" t="str">
        <f>MID(Page012[[#This Row],[Column5]],SEARCH("(",Page012[[#This Row],[Column5]])+1,SEARCH(")",Page012[[#This Row],[Column5]])-SEARCH("(",Page012[[#This Row],[Column5]])-1)</f>
        <v>26.97</v>
      </c>
      <c r="B383" s="68" t="s">
        <v>471</v>
      </c>
      <c r="C383" s="68" t="s">
        <v>292</v>
      </c>
      <c r="D383" s="68" t="s">
        <v>292</v>
      </c>
      <c r="E383" s="68" t="s">
        <v>472</v>
      </c>
      <c r="F383" s="68" t="s">
        <v>439</v>
      </c>
      <c r="G383" s="68">
        <v>353.86</v>
      </c>
      <c r="H383" s="100" t="str">
        <f>MID(Page012[[#This Row],[Column4]],SEARCH("(",Page012[[#This Row],[Column4]])+1,SEARCH(")",Page012[[#This Row],[Column4]])-SEARCH("(",Page012[[#This Row],[Column4]])-1)</f>
        <v>559</v>
      </c>
      <c r="I383" s="68">
        <v>559</v>
      </c>
      <c r="J383" s="68">
        <f t="shared" si="21"/>
        <v>559</v>
      </c>
      <c r="K383" s="68" t="str">
        <f t="shared" si="20"/>
        <v>26.97</v>
      </c>
      <c r="L383" s="100">
        <f t="shared" si="22"/>
        <v>26.545138663533699</v>
      </c>
      <c r="M383" s="68">
        <f t="shared" si="23"/>
        <v>26.545138663533699</v>
      </c>
    </row>
    <row r="384" spans="1:13">
      <c r="A384" s="100" t="str">
        <f>MID(Page012[[#This Row],[Column5]],SEARCH("(",Page012[[#This Row],[Column5]])+1,SEARCH(")",Page012[[#This Row],[Column5]])-SEARCH("(",Page012[[#This Row],[Column5]])-1)</f>
        <v>28.58</v>
      </c>
      <c r="B384" s="68" t="s">
        <v>471</v>
      </c>
      <c r="C384" s="68" t="s">
        <v>292</v>
      </c>
      <c r="D384" s="68" t="s">
        <v>304</v>
      </c>
      <c r="E384" s="68" t="s">
        <v>472</v>
      </c>
      <c r="F384" s="68" t="s">
        <v>432</v>
      </c>
      <c r="G384" s="68">
        <v>373.53</v>
      </c>
      <c r="H384" s="100" t="str">
        <f>MID(Page012[[#This Row],[Column4]],SEARCH("(",Page012[[#This Row],[Column4]])+1,SEARCH(")",Page012[[#This Row],[Column4]])-SEARCH("(",Page012[[#This Row],[Column4]])-1)</f>
        <v>559</v>
      </c>
      <c r="I384" s="68">
        <v>559</v>
      </c>
      <c r="J384" s="68">
        <f t="shared" si="21"/>
        <v>559</v>
      </c>
      <c r="K384" s="68" t="str">
        <f t="shared" si="20"/>
        <v>28.58</v>
      </c>
      <c r="L384" s="100">
        <f t="shared" si="22"/>
        <v>28.155138663533698</v>
      </c>
      <c r="M384" s="68">
        <f t="shared" si="23"/>
        <v>28.155138663533698</v>
      </c>
    </row>
    <row r="385" spans="1:13">
      <c r="A385" s="100" t="str">
        <f>MID(Page012[[#This Row],[Column5]],SEARCH("(",Page012[[#This Row],[Column5]])+1,SEARCH(")",Page012[[#This Row],[Column5]])-SEARCH("(",Page012[[#This Row],[Column5]])-1)</f>
        <v>30.18</v>
      </c>
      <c r="B385" s="68" t="s">
        <v>471</v>
      </c>
      <c r="C385" s="68" t="s">
        <v>292</v>
      </c>
      <c r="D385" s="68" t="s">
        <v>292</v>
      </c>
      <c r="E385" s="68" t="s">
        <v>472</v>
      </c>
      <c r="F385" s="68" t="s">
        <v>455</v>
      </c>
      <c r="G385" s="68">
        <v>393.59</v>
      </c>
      <c r="H385" s="100" t="str">
        <f>MID(Page012[[#This Row],[Column4]],SEARCH("(",Page012[[#This Row],[Column4]])+1,SEARCH(")",Page012[[#This Row],[Column4]])-SEARCH("(",Page012[[#This Row],[Column4]])-1)</f>
        <v>559</v>
      </c>
      <c r="I385" s="68">
        <v>559</v>
      </c>
      <c r="J385" s="68">
        <f t="shared" si="21"/>
        <v>559</v>
      </c>
      <c r="K385" s="68" t="str">
        <f t="shared" si="20"/>
        <v>30.18</v>
      </c>
      <c r="L385" s="100">
        <f t="shared" si="22"/>
        <v>29.7551386635337</v>
      </c>
      <c r="M385" s="68">
        <f t="shared" si="23"/>
        <v>29.7551386635337</v>
      </c>
    </row>
    <row r="386" spans="1:13">
      <c r="A386" s="100" t="str">
        <f>MID(Page012[[#This Row],[Column5]],SEARCH("(",Page012[[#This Row],[Column5]])+1,SEARCH(")",Page012[[#This Row],[Column5]])-SEARCH("(",Page012[[#This Row],[Column5]])-1)</f>
        <v>31.75</v>
      </c>
      <c r="B386" s="68" t="s">
        <v>471</v>
      </c>
      <c r="C386" s="68" t="s">
        <v>292</v>
      </c>
      <c r="D386" s="68" t="s">
        <v>292</v>
      </c>
      <c r="E386" s="68" t="s">
        <v>472</v>
      </c>
      <c r="F386" s="68" t="s">
        <v>433</v>
      </c>
      <c r="G386" s="68">
        <v>412.89</v>
      </c>
      <c r="H386" s="100" t="str">
        <f>MID(Page012[[#This Row],[Column4]],SEARCH("(",Page012[[#This Row],[Column4]])+1,SEARCH(")",Page012[[#This Row],[Column4]])-SEARCH("(",Page012[[#This Row],[Column4]])-1)</f>
        <v>559</v>
      </c>
      <c r="I386" s="68">
        <v>559</v>
      </c>
      <c r="J386" s="68">
        <f t="shared" si="21"/>
        <v>559</v>
      </c>
      <c r="K386" s="68" t="str">
        <f t="shared" ref="K386:K449" si="24">IF(IF(I386&gt;=$Q$3,I386,$Q$2+10)&lt;=$Q$2,A386,0)</f>
        <v>31.75</v>
      </c>
      <c r="L386" s="100">
        <f t="shared" si="22"/>
        <v>31.3251386635337</v>
      </c>
      <c r="M386" s="68">
        <f t="shared" si="23"/>
        <v>31.3251386635337</v>
      </c>
    </row>
    <row r="387" spans="1:13">
      <c r="A387" s="100" t="str">
        <f>MID(Page012[[#This Row],[Column5]],SEARCH("(",Page012[[#This Row],[Column5]])+1,SEARCH(")",Page012[[#This Row],[Column5]])-SEARCH("(",Page012[[#This Row],[Column5]])-1)</f>
        <v>33.32</v>
      </c>
      <c r="B387" s="68" t="s">
        <v>471</v>
      </c>
      <c r="C387" s="68" t="s">
        <v>292</v>
      </c>
      <c r="D387" s="68" t="s">
        <v>292</v>
      </c>
      <c r="E387" s="68" t="s">
        <v>472</v>
      </c>
      <c r="F387" s="68" t="s">
        <v>440</v>
      </c>
      <c r="G387" s="68">
        <v>431.26</v>
      </c>
      <c r="H387" s="100" t="str">
        <f>MID(Page012[[#This Row],[Column4]],SEARCH("(",Page012[[#This Row],[Column4]])+1,SEARCH(")",Page012[[#This Row],[Column4]])-SEARCH("(",Page012[[#This Row],[Column4]])-1)</f>
        <v>559</v>
      </c>
      <c r="I387" s="68">
        <v>559</v>
      </c>
      <c r="J387" s="68">
        <f t="shared" ref="J387:J450" si="25">IF(IF(I387&gt;=$Q$3,I387,$Q$2+10)&lt;=$Q$2,I387,0)</f>
        <v>559</v>
      </c>
      <c r="K387" s="68" t="str">
        <f t="shared" si="24"/>
        <v>33.32</v>
      </c>
      <c r="L387" s="100">
        <f t="shared" ref="L387:L450" si="26">K387-$Q$1</f>
        <v>32.8951386635337</v>
      </c>
      <c r="M387" s="68">
        <f t="shared" si="23"/>
        <v>32.8951386635337</v>
      </c>
    </row>
    <row r="388" spans="1:13">
      <c r="A388" s="100" t="str">
        <f>MID(Page012[[#This Row],[Column5]],SEARCH("(",Page012[[#This Row],[Column5]])+1,SEARCH(")",Page012[[#This Row],[Column5]])-SEARCH("(",Page012[[#This Row],[Column5]])-1)</f>
        <v>34.93</v>
      </c>
      <c r="B388" s="68" t="s">
        <v>471</v>
      </c>
      <c r="C388" s="68" t="s">
        <v>292</v>
      </c>
      <c r="D388" s="68" t="s">
        <v>418</v>
      </c>
      <c r="E388" s="68" t="s">
        <v>472</v>
      </c>
      <c r="F388" s="68" t="s">
        <v>462</v>
      </c>
      <c r="G388" s="68">
        <v>451.32</v>
      </c>
      <c r="H388" s="100" t="str">
        <f>MID(Page012[[#This Row],[Column4]],SEARCH("(",Page012[[#This Row],[Column4]])+1,SEARCH(")",Page012[[#This Row],[Column4]])-SEARCH("(",Page012[[#This Row],[Column4]])-1)</f>
        <v>559</v>
      </c>
      <c r="I388" s="68">
        <v>559</v>
      </c>
      <c r="J388" s="68">
        <f t="shared" si="25"/>
        <v>559</v>
      </c>
      <c r="K388" s="68" t="str">
        <f t="shared" si="24"/>
        <v>34.93</v>
      </c>
      <c r="L388" s="100">
        <f t="shared" si="26"/>
        <v>34.5051386635337</v>
      </c>
      <c r="M388" s="68">
        <f t="shared" ref="M388:M451" si="27">IF(L388&lt;0,10,L388)</f>
        <v>34.5051386635337</v>
      </c>
    </row>
    <row r="389" spans="1:13">
      <c r="A389" s="100" t="str">
        <f>MID(Page012[[#This Row],[Column5]],SEARCH("(",Page012[[#This Row],[Column5]])+1,SEARCH(")",Page012[[#This Row],[Column5]])-SEARCH("(",Page012[[#This Row],[Column5]])-1)</f>
        <v>36.53</v>
      </c>
      <c r="B389" s="68" t="s">
        <v>471</v>
      </c>
      <c r="C389" s="68" t="s">
        <v>292</v>
      </c>
      <c r="D389" s="68" t="s">
        <v>292</v>
      </c>
      <c r="E389" s="68" t="s">
        <v>472</v>
      </c>
      <c r="F389" s="68" t="s">
        <v>457</v>
      </c>
      <c r="G389" s="68">
        <v>470.69</v>
      </c>
      <c r="H389" s="100" t="str">
        <f>MID(Page012[[#This Row],[Column4]],SEARCH("(",Page012[[#This Row],[Column4]])+1,SEARCH(")",Page012[[#This Row],[Column4]])-SEARCH("(",Page012[[#This Row],[Column4]])-1)</f>
        <v>559</v>
      </c>
      <c r="I389" s="68">
        <v>559</v>
      </c>
      <c r="J389" s="68">
        <f t="shared" si="25"/>
        <v>559</v>
      </c>
      <c r="K389" s="68" t="str">
        <f t="shared" si="24"/>
        <v>36.53</v>
      </c>
      <c r="L389" s="100">
        <f t="shared" si="26"/>
        <v>36.105138663533701</v>
      </c>
      <c r="M389" s="68">
        <f t="shared" si="27"/>
        <v>36.105138663533701</v>
      </c>
    </row>
    <row r="390" spans="1:13">
      <c r="A390" s="100" t="str">
        <f>MID(Page012[[#This Row],[Column5]],SEARCH("(",Page012[[#This Row],[Column5]])+1,SEARCH(")",Page012[[#This Row],[Column5]])-SEARCH("(",Page012[[#This Row],[Column5]])-1)</f>
        <v>38.10</v>
      </c>
      <c r="B390" s="68" t="s">
        <v>471</v>
      </c>
      <c r="C390" s="68" t="s">
        <v>292</v>
      </c>
      <c r="D390" s="68" t="s">
        <v>292</v>
      </c>
      <c r="E390" s="68" t="s">
        <v>472</v>
      </c>
      <c r="F390" s="68" t="s">
        <v>468</v>
      </c>
      <c r="G390" s="68">
        <v>489.44</v>
      </c>
      <c r="H390" s="100" t="str">
        <f>MID(Page012[[#This Row],[Column4]],SEARCH("(",Page012[[#This Row],[Column4]])+1,SEARCH(")",Page012[[#This Row],[Column4]])-SEARCH("(",Page012[[#This Row],[Column4]])-1)</f>
        <v>559</v>
      </c>
      <c r="I390" s="68">
        <v>559</v>
      </c>
      <c r="J390" s="68">
        <f t="shared" si="25"/>
        <v>559</v>
      </c>
      <c r="K390" s="68" t="str">
        <f t="shared" si="24"/>
        <v>38.10</v>
      </c>
      <c r="L390" s="100">
        <f t="shared" si="26"/>
        <v>37.675138663533701</v>
      </c>
      <c r="M390" s="68">
        <f t="shared" si="27"/>
        <v>37.675138663533701</v>
      </c>
    </row>
    <row r="391" spans="1:13">
      <c r="A391" s="100" t="str">
        <f>MID(Page012[[#This Row],[Column5]],SEARCH("(",Page012[[#This Row],[Column5]])+1,SEARCH(")",Page012[[#This Row],[Column5]])-SEARCH("(",Page012[[#This Row],[Column5]])-1)</f>
        <v>41.28</v>
      </c>
      <c r="B391" s="68" t="s">
        <v>471</v>
      </c>
      <c r="C391" s="68" t="s">
        <v>292</v>
      </c>
      <c r="D391" s="68" t="s">
        <v>392</v>
      </c>
      <c r="E391" s="68" t="s">
        <v>472</v>
      </c>
      <c r="F391" s="68" t="s">
        <v>473</v>
      </c>
      <c r="G391" s="68">
        <v>527.02</v>
      </c>
      <c r="H391" s="100" t="str">
        <f>MID(Page012[[#This Row],[Column4]],SEARCH("(",Page012[[#This Row],[Column4]])+1,SEARCH(")",Page012[[#This Row],[Column4]])-SEARCH("(",Page012[[#This Row],[Column4]])-1)</f>
        <v>559</v>
      </c>
      <c r="I391" s="68">
        <v>559</v>
      </c>
      <c r="J391" s="68">
        <f t="shared" si="25"/>
        <v>559</v>
      </c>
      <c r="K391" s="68" t="str">
        <f t="shared" si="24"/>
        <v>41.28</v>
      </c>
      <c r="L391" s="100">
        <f t="shared" si="26"/>
        <v>40.855138663533701</v>
      </c>
      <c r="M391" s="68">
        <f t="shared" si="27"/>
        <v>40.855138663533701</v>
      </c>
    </row>
    <row r="392" spans="1:13">
      <c r="A392" s="100" t="str">
        <f>MID(Page012[[#This Row],[Column5]],SEARCH("(",Page012[[#This Row],[Column5]])+1,SEARCH(")",Page012[[#This Row],[Column5]])-SEARCH("(",Page012[[#This Row],[Column5]])-1)</f>
        <v>47.63</v>
      </c>
      <c r="B392" s="68" t="s">
        <v>471</v>
      </c>
      <c r="C392" s="68" t="s">
        <v>292</v>
      </c>
      <c r="D392" s="68" t="s">
        <v>420</v>
      </c>
      <c r="E392" s="68" t="s">
        <v>472</v>
      </c>
      <c r="F392" s="68" t="s">
        <v>474</v>
      </c>
      <c r="G392" s="68">
        <v>600.97</v>
      </c>
      <c r="H392" s="100" t="str">
        <f>MID(Page012[[#This Row],[Column4]],SEARCH("(",Page012[[#This Row],[Column4]])+1,SEARCH(")",Page012[[#This Row],[Column4]])-SEARCH("(",Page012[[#This Row],[Column4]])-1)</f>
        <v>559</v>
      </c>
      <c r="I392" s="68">
        <v>559</v>
      </c>
      <c r="J392" s="68">
        <f t="shared" si="25"/>
        <v>559</v>
      </c>
      <c r="K392" s="68" t="str">
        <f t="shared" si="24"/>
        <v>47.63</v>
      </c>
      <c r="L392" s="100">
        <f t="shared" si="26"/>
        <v>47.205138663533702</v>
      </c>
      <c r="M392" s="68">
        <f t="shared" si="27"/>
        <v>47.205138663533702</v>
      </c>
    </row>
    <row r="393" spans="1:13">
      <c r="A393" s="100" t="str">
        <f>MID(Page012[[#This Row],[Column5]],SEARCH("(",Page012[[#This Row],[Column5]])+1,SEARCH(")",Page012[[#This Row],[Column5]])-SEARCH("(",Page012[[#This Row],[Column5]])-1)</f>
        <v>53.98</v>
      </c>
      <c r="B393" s="68" t="s">
        <v>471</v>
      </c>
      <c r="C393" s="68" t="s">
        <v>292</v>
      </c>
      <c r="D393" s="68" t="s">
        <v>306</v>
      </c>
      <c r="E393" s="68" t="s">
        <v>472</v>
      </c>
      <c r="F393" s="68" t="s">
        <v>448</v>
      </c>
      <c r="G393" s="68">
        <v>672.3</v>
      </c>
      <c r="H393" s="100" t="str">
        <f>MID(Page012[[#This Row],[Column4]],SEARCH("(",Page012[[#This Row],[Column4]])+1,SEARCH(")",Page012[[#This Row],[Column4]])-SEARCH("(",Page012[[#This Row],[Column4]])-1)</f>
        <v>559</v>
      </c>
      <c r="I393" s="68">
        <v>559</v>
      </c>
      <c r="J393" s="68">
        <f t="shared" si="25"/>
        <v>559</v>
      </c>
      <c r="K393" s="68" t="str">
        <f t="shared" si="24"/>
        <v>53.98</v>
      </c>
      <c r="L393" s="100">
        <f t="shared" si="26"/>
        <v>53.555138663533697</v>
      </c>
      <c r="M393" s="68">
        <f t="shared" si="27"/>
        <v>53.555138663533697</v>
      </c>
    </row>
    <row r="394" spans="1:13">
      <c r="A394" s="100" t="str">
        <f>MID(Page012[[#This Row],[Column5]],SEARCH("(",Page012[[#This Row],[Column5]])+1,SEARCH(")",Page012[[#This Row],[Column5]])-SEARCH("(",Page012[[#This Row],[Column5]])-1)</f>
        <v>5.54</v>
      </c>
      <c r="B394" s="68" t="s">
        <v>475</v>
      </c>
      <c r="C394" s="68" t="s">
        <v>292</v>
      </c>
      <c r="D394" s="68" t="s">
        <v>330</v>
      </c>
      <c r="E394" s="68" t="s">
        <v>476</v>
      </c>
      <c r="F394" s="68" t="s">
        <v>366</v>
      </c>
      <c r="G394" s="68">
        <v>82.58</v>
      </c>
      <c r="H394" s="100" t="str">
        <f>MID(Page012[[#This Row],[Column4]],SEARCH("(",Page012[[#This Row],[Column4]])+1,SEARCH(")",Page012[[#This Row],[Column4]])-SEARCH("(",Page012[[#This Row],[Column4]])-1)</f>
        <v>610</v>
      </c>
      <c r="I394" s="68">
        <v>610</v>
      </c>
      <c r="J394" s="68">
        <f t="shared" si="25"/>
        <v>610</v>
      </c>
      <c r="K394" s="68" t="str">
        <f t="shared" si="24"/>
        <v>5.54</v>
      </c>
      <c r="L394" s="100">
        <f t="shared" si="26"/>
        <v>5.1151386635337017</v>
      </c>
      <c r="M394" s="68">
        <f t="shared" si="27"/>
        <v>5.1151386635337017</v>
      </c>
    </row>
    <row r="395" spans="1:13">
      <c r="A395" s="100" t="str">
        <f>MID(Page012[[#This Row],[Column5]],SEARCH("(",Page012[[#This Row],[Column5]])+1,SEARCH(")",Page012[[#This Row],[Column5]])-SEARCH("(",Page012[[#This Row],[Column5]])-1)</f>
        <v>6.35</v>
      </c>
      <c r="B395" s="68" t="s">
        <v>475</v>
      </c>
      <c r="C395" s="68" t="s">
        <v>292</v>
      </c>
      <c r="D395" s="68" t="s">
        <v>293</v>
      </c>
      <c r="E395" s="68" t="s">
        <v>476</v>
      </c>
      <c r="F395" s="68" t="s">
        <v>348</v>
      </c>
      <c r="G395" s="68">
        <v>94.53</v>
      </c>
      <c r="H395" s="100" t="str">
        <f>MID(Page012[[#This Row],[Column4]],SEARCH("(",Page012[[#This Row],[Column4]])+1,SEARCH(")",Page012[[#This Row],[Column4]])-SEARCH("(",Page012[[#This Row],[Column4]])-1)</f>
        <v>610</v>
      </c>
      <c r="I395" s="68">
        <v>610</v>
      </c>
      <c r="J395" s="68">
        <f t="shared" si="25"/>
        <v>610</v>
      </c>
      <c r="K395" s="68" t="str">
        <f t="shared" si="24"/>
        <v>6.35</v>
      </c>
      <c r="L395" s="100">
        <f t="shared" si="26"/>
        <v>5.9251386635337013</v>
      </c>
      <c r="M395" s="68">
        <f t="shared" si="27"/>
        <v>5.9251386635337013</v>
      </c>
    </row>
    <row r="396" spans="1:13">
      <c r="A396" s="100" t="str">
        <f>MID(Page012[[#This Row],[Column5]],SEARCH("(",Page012[[#This Row],[Column5]])+1,SEARCH(")",Page012[[#This Row],[Column5]])-SEARCH("(",Page012[[#This Row],[Column5]])-1)</f>
        <v>7.14</v>
      </c>
      <c r="B396" s="68" t="s">
        <v>475</v>
      </c>
      <c r="C396" s="68" t="s">
        <v>292</v>
      </c>
      <c r="D396" s="68" t="s">
        <v>292</v>
      </c>
      <c r="E396" s="68" t="s">
        <v>476</v>
      </c>
      <c r="F396" s="68" t="s">
        <v>360</v>
      </c>
      <c r="G396" s="68">
        <v>106.17</v>
      </c>
      <c r="H396" s="100" t="str">
        <f>MID(Page012[[#This Row],[Column4]],SEARCH("(",Page012[[#This Row],[Column4]])+1,SEARCH(")",Page012[[#This Row],[Column4]])-SEARCH("(",Page012[[#This Row],[Column4]])-1)</f>
        <v>610</v>
      </c>
      <c r="I396" s="68">
        <v>610</v>
      </c>
      <c r="J396" s="68">
        <f t="shared" si="25"/>
        <v>610</v>
      </c>
      <c r="K396" s="68" t="str">
        <f t="shared" si="24"/>
        <v>7.14</v>
      </c>
      <c r="L396" s="100">
        <f t="shared" si="26"/>
        <v>6.7151386635337014</v>
      </c>
      <c r="M396" s="68">
        <f t="shared" si="27"/>
        <v>6.7151386635337014</v>
      </c>
    </row>
    <row r="397" spans="1:13">
      <c r="A397" s="100" t="str">
        <f>MID(Page012[[#This Row],[Column5]],SEARCH("(",Page012[[#This Row],[Column5]])+1,SEARCH(")",Page012[[#This Row],[Column5]])-SEARCH("(",Page012[[#This Row],[Column5]])-1)</f>
        <v>7.92</v>
      </c>
      <c r="B397" s="68" t="s">
        <v>475</v>
      </c>
      <c r="C397" s="68" t="s">
        <v>292</v>
      </c>
      <c r="D397" s="68" t="s">
        <v>292</v>
      </c>
      <c r="E397" s="68" t="s">
        <v>476</v>
      </c>
      <c r="F397" s="68" t="s">
        <v>390</v>
      </c>
      <c r="G397" s="68">
        <v>117.6</v>
      </c>
      <c r="H397" s="100" t="str">
        <f>MID(Page012[[#This Row],[Column4]],SEARCH("(",Page012[[#This Row],[Column4]])+1,SEARCH(")",Page012[[#This Row],[Column4]])-SEARCH("(",Page012[[#This Row],[Column4]])-1)</f>
        <v>610</v>
      </c>
      <c r="I397" s="68">
        <v>610</v>
      </c>
      <c r="J397" s="68">
        <f t="shared" si="25"/>
        <v>610</v>
      </c>
      <c r="K397" s="68" t="str">
        <f t="shared" si="24"/>
        <v>7.92</v>
      </c>
      <c r="L397" s="100">
        <f t="shared" si="26"/>
        <v>7.4951386635337016</v>
      </c>
      <c r="M397" s="68">
        <f t="shared" si="27"/>
        <v>7.4951386635337016</v>
      </c>
    </row>
    <row r="398" spans="1:13">
      <c r="A398" s="100" t="str">
        <f>MID(Page012[[#This Row],[Column5]],SEARCH("(",Page012[[#This Row],[Column5]])+1,SEARCH(")",Page012[[#This Row],[Column5]])-SEARCH("(",Page012[[#This Row],[Column5]])-1)</f>
        <v>8.74</v>
      </c>
      <c r="B398" s="68" t="s">
        <v>475</v>
      </c>
      <c r="C398" s="68" t="s">
        <v>292</v>
      </c>
      <c r="D398" s="68" t="s">
        <v>292</v>
      </c>
      <c r="E398" s="68" t="s">
        <v>476</v>
      </c>
      <c r="F398" s="68" t="s">
        <v>367</v>
      </c>
      <c r="G398" s="68">
        <v>129.6</v>
      </c>
      <c r="H398" s="100" t="str">
        <f>MID(Page012[[#This Row],[Column4]],SEARCH("(",Page012[[#This Row],[Column4]])+1,SEARCH(")",Page012[[#This Row],[Column4]])-SEARCH("(",Page012[[#This Row],[Column4]])-1)</f>
        <v>610</v>
      </c>
      <c r="I398" s="68">
        <v>610</v>
      </c>
      <c r="J398" s="68">
        <f t="shared" si="25"/>
        <v>610</v>
      </c>
      <c r="K398" s="68" t="str">
        <f t="shared" si="24"/>
        <v>8.74</v>
      </c>
      <c r="L398" s="100">
        <f t="shared" si="26"/>
        <v>8.3151386635337019</v>
      </c>
      <c r="M398" s="68">
        <f t="shared" si="27"/>
        <v>8.3151386635337019</v>
      </c>
    </row>
    <row r="399" spans="1:13">
      <c r="A399" s="100" t="str">
        <f>MID(Page012[[#This Row],[Column5]],SEARCH("(",Page012[[#This Row],[Column5]])+1,SEARCH(")",Page012[[#This Row],[Column5]])-SEARCH("(",Page012[[#This Row],[Column5]])-1)</f>
        <v>9.53</v>
      </c>
      <c r="B399" s="68" t="s">
        <v>475</v>
      </c>
      <c r="C399" s="68" t="s">
        <v>300</v>
      </c>
      <c r="D399" s="68" t="s">
        <v>413</v>
      </c>
      <c r="E399" s="68" t="s">
        <v>476</v>
      </c>
      <c r="F399" s="68" t="s">
        <v>376</v>
      </c>
      <c r="G399" s="68">
        <v>141.12</v>
      </c>
      <c r="H399" s="100" t="str">
        <f>MID(Page012[[#This Row],[Column4]],SEARCH("(",Page012[[#This Row],[Column4]])+1,SEARCH(")",Page012[[#This Row],[Column4]])-SEARCH("(",Page012[[#This Row],[Column4]])-1)</f>
        <v>610</v>
      </c>
      <c r="I399" s="68">
        <v>610</v>
      </c>
      <c r="J399" s="68">
        <f t="shared" si="25"/>
        <v>610</v>
      </c>
      <c r="K399" s="68" t="str">
        <f t="shared" si="24"/>
        <v>9.53</v>
      </c>
      <c r="L399" s="100">
        <f t="shared" si="26"/>
        <v>9.105138663533701</v>
      </c>
      <c r="M399" s="68">
        <f t="shared" si="27"/>
        <v>9.105138663533701</v>
      </c>
    </row>
    <row r="400" spans="1:13">
      <c r="A400" s="100" t="str">
        <f>MID(Page012[[#This Row],[Column5]],SEARCH("(",Page012[[#This Row],[Column5]])+1,SEARCH(")",Page012[[#This Row],[Column5]])-SEARCH("(",Page012[[#This Row],[Column5]])-1)</f>
        <v>10.31</v>
      </c>
      <c r="B400" s="68" t="s">
        <v>475</v>
      </c>
      <c r="C400" s="68" t="s">
        <v>292</v>
      </c>
      <c r="D400" s="68" t="s">
        <v>292</v>
      </c>
      <c r="E400" s="68" t="s">
        <v>476</v>
      </c>
      <c r="F400" s="68" t="s">
        <v>417</v>
      </c>
      <c r="G400" s="68">
        <v>152.47999999999999</v>
      </c>
      <c r="H400" s="100" t="str">
        <f>MID(Page012[[#This Row],[Column4]],SEARCH("(",Page012[[#This Row],[Column4]])+1,SEARCH(")",Page012[[#This Row],[Column4]])-SEARCH("(",Page012[[#This Row],[Column4]])-1)</f>
        <v>610</v>
      </c>
      <c r="I400" s="68">
        <v>610</v>
      </c>
      <c r="J400" s="68">
        <f t="shared" si="25"/>
        <v>610</v>
      </c>
      <c r="K400" s="68" t="str">
        <f t="shared" si="24"/>
        <v>10.31</v>
      </c>
      <c r="L400" s="100">
        <f t="shared" si="26"/>
        <v>9.8851386635337022</v>
      </c>
      <c r="M400" s="68">
        <f t="shared" si="27"/>
        <v>9.8851386635337022</v>
      </c>
    </row>
    <row r="401" spans="1:13">
      <c r="A401" s="100" t="str">
        <f>MID(Page012[[#This Row],[Column5]],SEARCH("(",Page012[[#This Row],[Column5]])+1,SEARCH(")",Page012[[#This Row],[Column5]])-SEARCH("(",Page012[[#This Row],[Column5]])-1)</f>
        <v>11.13</v>
      </c>
      <c r="B401" s="68" t="s">
        <v>475</v>
      </c>
      <c r="C401" s="68" t="s">
        <v>292</v>
      </c>
      <c r="D401" s="68" t="s">
        <v>292</v>
      </c>
      <c r="E401" s="68" t="s">
        <v>476</v>
      </c>
      <c r="F401" s="68" t="s">
        <v>381</v>
      </c>
      <c r="G401" s="68">
        <v>164.38</v>
      </c>
      <c r="H401" s="100" t="str">
        <f>MID(Page012[[#This Row],[Column4]],SEARCH("(",Page012[[#This Row],[Column4]])+1,SEARCH(")",Page012[[#This Row],[Column4]])-SEARCH("(",Page012[[#This Row],[Column4]])-1)</f>
        <v>610</v>
      </c>
      <c r="I401" s="68">
        <v>610</v>
      </c>
      <c r="J401" s="68">
        <f t="shared" si="25"/>
        <v>610</v>
      </c>
      <c r="K401" s="68" t="str">
        <f t="shared" si="24"/>
        <v>11.13</v>
      </c>
      <c r="L401" s="100">
        <f t="shared" si="26"/>
        <v>10.705138663533702</v>
      </c>
      <c r="M401" s="68">
        <f t="shared" si="27"/>
        <v>10.705138663533702</v>
      </c>
    </row>
    <row r="402" spans="1:13">
      <c r="A402" s="100" t="str">
        <f>MID(Page012[[#This Row],[Column5]],SEARCH("(",Page012[[#This Row],[Column5]])+1,SEARCH(")",Page012[[#This Row],[Column5]])-SEARCH("(",Page012[[#This Row],[Column5]])-1)</f>
        <v>11.91</v>
      </c>
      <c r="B402" s="68" t="s">
        <v>475</v>
      </c>
      <c r="C402" s="68" t="s">
        <v>292</v>
      </c>
      <c r="D402" s="68" t="s">
        <v>292</v>
      </c>
      <c r="E402" s="68" t="s">
        <v>476</v>
      </c>
      <c r="F402" s="68" t="s">
        <v>444</v>
      </c>
      <c r="G402" s="68">
        <v>175.67</v>
      </c>
      <c r="H402" s="100" t="str">
        <f>MID(Page012[[#This Row],[Column4]],SEARCH("(",Page012[[#This Row],[Column4]])+1,SEARCH(")",Page012[[#This Row],[Column4]])-SEARCH("(",Page012[[#This Row],[Column4]])-1)</f>
        <v>610</v>
      </c>
      <c r="I402" s="68">
        <v>610</v>
      </c>
      <c r="J402" s="68">
        <f t="shared" si="25"/>
        <v>610</v>
      </c>
      <c r="K402" s="68" t="str">
        <f t="shared" si="24"/>
        <v>11.91</v>
      </c>
      <c r="L402" s="100">
        <f t="shared" si="26"/>
        <v>11.485138663533702</v>
      </c>
      <c r="M402" s="68">
        <f t="shared" si="27"/>
        <v>11.485138663533702</v>
      </c>
    </row>
    <row r="403" spans="1:13">
      <c r="A403" s="100" t="str">
        <f>MID(Page012[[#This Row],[Column5]],SEARCH("(",Page012[[#This Row],[Column5]])+1,SEARCH(")",Page012[[#This Row],[Column5]])-SEARCH("(",Page012[[#This Row],[Column5]])-1)</f>
        <v>12.70</v>
      </c>
      <c r="B403" s="68" t="s">
        <v>475</v>
      </c>
      <c r="C403" s="68" t="s">
        <v>303</v>
      </c>
      <c r="D403" s="68" t="s">
        <v>292</v>
      </c>
      <c r="E403" s="68" t="s">
        <v>476</v>
      </c>
      <c r="F403" s="68" t="s">
        <v>399</v>
      </c>
      <c r="G403" s="68">
        <v>187.07</v>
      </c>
      <c r="H403" s="100" t="str">
        <f>MID(Page012[[#This Row],[Column4]],SEARCH("(",Page012[[#This Row],[Column4]])+1,SEARCH(")",Page012[[#This Row],[Column4]])-SEARCH("(",Page012[[#This Row],[Column4]])-1)</f>
        <v>610</v>
      </c>
      <c r="I403" s="68">
        <v>610</v>
      </c>
      <c r="J403" s="68">
        <f t="shared" si="25"/>
        <v>610</v>
      </c>
      <c r="K403" s="68" t="str">
        <f t="shared" si="24"/>
        <v>12.70</v>
      </c>
      <c r="L403" s="100">
        <f t="shared" si="26"/>
        <v>12.275138663533701</v>
      </c>
      <c r="M403" s="68">
        <f t="shared" si="27"/>
        <v>12.275138663533701</v>
      </c>
    </row>
    <row r="404" spans="1:13">
      <c r="A404" s="100" t="str">
        <f>MID(Page012[[#This Row],[Column5]],SEARCH("(",Page012[[#This Row],[Column5]])+1,SEARCH(")",Page012[[#This Row],[Column5]])-SEARCH("(",Page012[[#This Row],[Column5]])-1)</f>
        <v>14.27</v>
      </c>
      <c r="B404" s="68" t="s">
        <v>475</v>
      </c>
      <c r="C404" s="68" t="s">
        <v>292</v>
      </c>
      <c r="D404" s="68" t="s">
        <v>297</v>
      </c>
      <c r="E404" s="68" t="s">
        <v>476</v>
      </c>
      <c r="F404" s="68" t="s">
        <v>406</v>
      </c>
      <c r="G404" s="68">
        <v>209.65</v>
      </c>
      <c r="H404" s="100" t="str">
        <f>MID(Page012[[#This Row],[Column4]],SEARCH("(",Page012[[#This Row],[Column4]])+1,SEARCH(")",Page012[[#This Row],[Column4]])-SEARCH("(",Page012[[#This Row],[Column4]])-1)</f>
        <v>610</v>
      </c>
      <c r="I404" s="68">
        <v>610</v>
      </c>
      <c r="J404" s="68">
        <f t="shared" si="25"/>
        <v>610</v>
      </c>
      <c r="K404" s="68" t="str">
        <f t="shared" si="24"/>
        <v>14.27</v>
      </c>
      <c r="L404" s="100">
        <f t="shared" si="26"/>
        <v>13.845138663533701</v>
      </c>
      <c r="M404" s="68">
        <f t="shared" si="27"/>
        <v>13.845138663533701</v>
      </c>
    </row>
    <row r="405" spans="1:13">
      <c r="A405" s="100" t="str">
        <f>MID(Page012[[#This Row],[Column5]],SEARCH("(",Page012[[#This Row],[Column5]])+1,SEARCH(")",Page012[[#This Row],[Column5]])-SEARCH("(",Page012[[#This Row],[Column5]])-1)</f>
        <v>15.88</v>
      </c>
      <c r="B405" s="68" t="s">
        <v>475</v>
      </c>
      <c r="C405" s="68" t="s">
        <v>292</v>
      </c>
      <c r="D405" s="68" t="s">
        <v>292</v>
      </c>
      <c r="E405" s="68" t="s">
        <v>476</v>
      </c>
      <c r="F405" s="68" t="s">
        <v>400</v>
      </c>
      <c r="G405" s="68">
        <v>232.67</v>
      </c>
      <c r="H405" s="100" t="str">
        <f>MID(Page012[[#This Row],[Column4]],SEARCH("(",Page012[[#This Row],[Column4]])+1,SEARCH(")",Page012[[#This Row],[Column4]])-SEARCH("(",Page012[[#This Row],[Column4]])-1)</f>
        <v>610</v>
      </c>
      <c r="I405" s="68">
        <v>610</v>
      </c>
      <c r="J405" s="68">
        <f t="shared" si="25"/>
        <v>610</v>
      </c>
      <c r="K405" s="68" t="str">
        <f t="shared" si="24"/>
        <v>15.88</v>
      </c>
      <c r="L405" s="100">
        <f t="shared" si="26"/>
        <v>15.455138663533702</v>
      </c>
      <c r="M405" s="68">
        <f t="shared" si="27"/>
        <v>15.455138663533702</v>
      </c>
    </row>
    <row r="406" spans="1:13">
      <c r="A406" s="100" t="str">
        <f>MID(Page012[[#This Row],[Column5]],SEARCH("(",Page012[[#This Row],[Column5]])+1,SEARCH(")",Page012[[#This Row],[Column5]])-SEARCH("(",Page012[[#This Row],[Column5]])-1)</f>
        <v>17.48</v>
      </c>
      <c r="B406" s="68" t="s">
        <v>475</v>
      </c>
      <c r="C406" s="68" t="s">
        <v>292</v>
      </c>
      <c r="D406" s="68" t="s">
        <v>301</v>
      </c>
      <c r="E406" s="68" t="s">
        <v>476</v>
      </c>
      <c r="F406" s="68" t="s">
        <v>438</v>
      </c>
      <c r="G406" s="68">
        <v>255.43</v>
      </c>
      <c r="H406" s="100" t="str">
        <f>MID(Page012[[#This Row],[Column4]],SEARCH("(",Page012[[#This Row],[Column4]])+1,SEARCH(")",Page012[[#This Row],[Column4]])-SEARCH("(",Page012[[#This Row],[Column4]])-1)</f>
        <v>610</v>
      </c>
      <c r="I406" s="68">
        <v>610</v>
      </c>
      <c r="J406" s="68">
        <f t="shared" si="25"/>
        <v>610</v>
      </c>
      <c r="K406" s="68" t="str">
        <f t="shared" si="24"/>
        <v>17.48</v>
      </c>
      <c r="L406" s="100">
        <f t="shared" si="26"/>
        <v>17.055138663533704</v>
      </c>
      <c r="M406" s="68">
        <f t="shared" si="27"/>
        <v>17.055138663533704</v>
      </c>
    </row>
    <row r="407" spans="1:13">
      <c r="A407" s="100" t="str">
        <f>MID(Page012[[#This Row],[Column5]],SEARCH("(",Page012[[#This Row],[Column5]])+1,SEARCH(")",Page012[[#This Row],[Column5]])-SEARCH("(",Page012[[#This Row],[Column5]])-1)</f>
        <v>19.05</v>
      </c>
      <c r="B407" s="68" t="s">
        <v>475</v>
      </c>
      <c r="C407" s="68" t="s">
        <v>292</v>
      </c>
      <c r="D407" s="68" t="s">
        <v>292</v>
      </c>
      <c r="E407" s="68" t="s">
        <v>476</v>
      </c>
      <c r="F407" s="68" t="s">
        <v>401</v>
      </c>
      <c r="G407" s="68">
        <v>277.63</v>
      </c>
      <c r="H407" s="100" t="str">
        <f>MID(Page012[[#This Row],[Column4]],SEARCH("(",Page012[[#This Row],[Column4]])+1,SEARCH(")",Page012[[#This Row],[Column4]])-SEARCH("(",Page012[[#This Row],[Column4]])-1)</f>
        <v>610</v>
      </c>
      <c r="I407" s="68">
        <v>610</v>
      </c>
      <c r="J407" s="68">
        <f t="shared" si="25"/>
        <v>610</v>
      </c>
      <c r="K407" s="68" t="str">
        <f t="shared" si="24"/>
        <v>19.05</v>
      </c>
      <c r="L407" s="100">
        <f t="shared" si="26"/>
        <v>18.625138663533704</v>
      </c>
      <c r="M407" s="68">
        <f t="shared" si="27"/>
        <v>18.625138663533704</v>
      </c>
    </row>
    <row r="408" spans="1:13">
      <c r="A408" s="100" t="str">
        <f>MID(Page012[[#This Row],[Column5]],SEARCH("(",Page012[[#This Row],[Column5]])+1,SEARCH(")",Page012[[#This Row],[Column5]])-SEARCH("(",Page012[[#This Row],[Column5]])-1)</f>
        <v>20.62</v>
      </c>
      <c r="B408" s="68" t="s">
        <v>475</v>
      </c>
      <c r="C408" s="68" t="s">
        <v>292</v>
      </c>
      <c r="D408" s="68" t="s">
        <v>292</v>
      </c>
      <c r="E408" s="68" t="s">
        <v>476</v>
      </c>
      <c r="F408" s="68" t="s">
        <v>421</v>
      </c>
      <c r="G408" s="68">
        <v>299.70999999999998</v>
      </c>
      <c r="H408" s="100" t="str">
        <f>MID(Page012[[#This Row],[Column4]],SEARCH("(",Page012[[#This Row],[Column4]])+1,SEARCH(")",Page012[[#This Row],[Column4]])-SEARCH("(",Page012[[#This Row],[Column4]])-1)</f>
        <v>610</v>
      </c>
      <c r="I408" s="68">
        <v>610</v>
      </c>
      <c r="J408" s="68">
        <f t="shared" si="25"/>
        <v>610</v>
      </c>
      <c r="K408" s="68" t="str">
        <f t="shared" si="24"/>
        <v>20.62</v>
      </c>
      <c r="L408" s="100">
        <f t="shared" si="26"/>
        <v>20.195138663533704</v>
      </c>
      <c r="M408" s="68">
        <f t="shared" si="27"/>
        <v>20.195138663533704</v>
      </c>
    </row>
    <row r="409" spans="1:13">
      <c r="A409" s="100" t="str">
        <f>MID(Page012[[#This Row],[Column5]],SEARCH("(",Page012[[#This Row],[Column5]])+1,SEARCH(")",Page012[[#This Row],[Column5]])-SEARCH("(",Page012[[#This Row],[Column5]])-1)</f>
        <v>22.23</v>
      </c>
      <c r="B409" s="68" t="s">
        <v>475</v>
      </c>
      <c r="C409" s="68" t="s">
        <v>292</v>
      </c>
      <c r="D409" s="68" t="s">
        <v>292</v>
      </c>
      <c r="E409" s="68" t="s">
        <v>476</v>
      </c>
      <c r="F409" s="68" t="s">
        <v>409</v>
      </c>
      <c r="G409" s="68">
        <v>322.23</v>
      </c>
      <c r="H409" s="100" t="str">
        <f>MID(Page012[[#This Row],[Column4]],SEARCH("(",Page012[[#This Row],[Column4]])+1,SEARCH(")",Page012[[#This Row],[Column4]])-SEARCH("(",Page012[[#This Row],[Column4]])-1)</f>
        <v>610</v>
      </c>
      <c r="I409" s="68">
        <v>610</v>
      </c>
      <c r="J409" s="68">
        <f t="shared" si="25"/>
        <v>610</v>
      </c>
      <c r="K409" s="68" t="str">
        <f t="shared" si="24"/>
        <v>22.23</v>
      </c>
      <c r="L409" s="100">
        <f t="shared" si="26"/>
        <v>21.805138663533704</v>
      </c>
      <c r="M409" s="68">
        <f t="shared" si="27"/>
        <v>21.805138663533704</v>
      </c>
    </row>
    <row r="410" spans="1:13">
      <c r="A410" s="100" t="str">
        <f>MID(Page012[[#This Row],[Column5]],SEARCH("(",Page012[[#This Row],[Column5]])+1,SEARCH(")",Page012[[#This Row],[Column5]])-SEARCH("(",Page012[[#This Row],[Column5]])-1)</f>
        <v>23.83</v>
      </c>
      <c r="B410" s="68" t="s">
        <v>475</v>
      </c>
      <c r="C410" s="68" t="s">
        <v>292</v>
      </c>
      <c r="D410" s="68" t="s">
        <v>292</v>
      </c>
      <c r="E410" s="68" t="s">
        <v>476</v>
      </c>
      <c r="F410" s="68" t="s">
        <v>431</v>
      </c>
      <c r="G410" s="68">
        <v>344.48</v>
      </c>
      <c r="H410" s="100" t="str">
        <f>MID(Page012[[#This Row],[Column4]],SEARCH("(",Page012[[#This Row],[Column4]])+1,SEARCH(")",Page012[[#This Row],[Column4]])-SEARCH("(",Page012[[#This Row],[Column4]])-1)</f>
        <v>610</v>
      </c>
      <c r="I410" s="68">
        <v>610</v>
      </c>
      <c r="J410" s="68">
        <f t="shared" si="25"/>
        <v>610</v>
      </c>
      <c r="K410" s="68" t="str">
        <f t="shared" si="24"/>
        <v>23.83</v>
      </c>
      <c r="L410" s="100">
        <f t="shared" si="26"/>
        <v>23.405138663533698</v>
      </c>
      <c r="M410" s="68">
        <f t="shared" si="27"/>
        <v>23.405138663533698</v>
      </c>
    </row>
    <row r="411" spans="1:13">
      <c r="A411" s="100" t="str">
        <f>MID(Page012[[#This Row],[Column5]],SEARCH("(",Page012[[#This Row],[Column5]])+1,SEARCH(")",Page012[[#This Row],[Column5]])-SEARCH("(",Page012[[#This Row],[Column5]])-1)</f>
        <v>24.61</v>
      </c>
      <c r="B411" s="68" t="s">
        <v>475</v>
      </c>
      <c r="C411" s="68" t="s">
        <v>292</v>
      </c>
      <c r="D411" s="68" t="s">
        <v>416</v>
      </c>
      <c r="E411" s="68" t="s">
        <v>476</v>
      </c>
      <c r="F411" s="68" t="s">
        <v>477</v>
      </c>
      <c r="G411" s="68">
        <v>355.28</v>
      </c>
      <c r="H411" s="100" t="str">
        <f>MID(Page012[[#This Row],[Column4]],SEARCH("(",Page012[[#This Row],[Column4]])+1,SEARCH(")",Page012[[#This Row],[Column4]])-SEARCH("(",Page012[[#This Row],[Column4]])-1)</f>
        <v>610</v>
      </c>
      <c r="I411" s="68">
        <v>610</v>
      </c>
      <c r="J411" s="68">
        <f t="shared" si="25"/>
        <v>610</v>
      </c>
      <c r="K411" s="68" t="str">
        <f t="shared" si="24"/>
        <v>24.61</v>
      </c>
      <c r="L411" s="100">
        <f t="shared" si="26"/>
        <v>24.185138663533699</v>
      </c>
      <c r="M411" s="68">
        <f t="shared" si="27"/>
        <v>24.185138663533699</v>
      </c>
    </row>
    <row r="412" spans="1:13">
      <c r="A412" s="100" t="str">
        <f>MID(Page012[[#This Row],[Column5]],SEARCH("(",Page012[[#This Row],[Column5]])+1,SEARCH(")",Page012[[#This Row],[Column5]])-SEARCH("(",Page012[[#This Row],[Column5]])-1)</f>
        <v>25.40</v>
      </c>
      <c r="B412" s="68" t="s">
        <v>475</v>
      </c>
      <c r="C412" s="68" t="s">
        <v>292</v>
      </c>
      <c r="D412" s="68" t="s">
        <v>292</v>
      </c>
      <c r="E412" s="68" t="s">
        <v>476</v>
      </c>
      <c r="F412" s="68" t="s">
        <v>423</v>
      </c>
      <c r="G412" s="68">
        <v>366.19</v>
      </c>
      <c r="H412" s="100" t="str">
        <f>MID(Page012[[#This Row],[Column4]],SEARCH("(",Page012[[#This Row],[Column4]])+1,SEARCH(")",Page012[[#This Row],[Column4]])-SEARCH("(",Page012[[#This Row],[Column4]])-1)</f>
        <v>610</v>
      </c>
      <c r="I412" s="68">
        <v>610</v>
      </c>
      <c r="J412" s="68">
        <f t="shared" si="25"/>
        <v>610</v>
      </c>
      <c r="K412" s="68" t="str">
        <f t="shared" si="24"/>
        <v>25.40</v>
      </c>
      <c r="L412" s="100">
        <f t="shared" si="26"/>
        <v>24.975138663533698</v>
      </c>
      <c r="M412" s="68">
        <f t="shared" si="27"/>
        <v>24.975138663533698</v>
      </c>
    </row>
    <row r="413" spans="1:13">
      <c r="A413" s="100" t="str">
        <f>MID(Page012[[#This Row],[Column5]],SEARCH("(",Page012[[#This Row],[Column5]])+1,SEARCH(")",Page012[[#This Row],[Column5]])-SEARCH("(",Page012[[#This Row],[Column5]])-1)</f>
        <v>26.97</v>
      </c>
      <c r="B413" s="68" t="s">
        <v>475</v>
      </c>
      <c r="C413" s="68" t="s">
        <v>292</v>
      </c>
      <c r="D413" s="68" t="s">
        <v>292</v>
      </c>
      <c r="E413" s="68" t="s">
        <v>476</v>
      </c>
      <c r="F413" s="68" t="s">
        <v>439</v>
      </c>
      <c r="G413" s="68">
        <v>387.19</v>
      </c>
      <c r="H413" s="100" t="str">
        <f>MID(Page012[[#This Row],[Column4]],SEARCH("(",Page012[[#This Row],[Column4]])+1,SEARCH(")",Page012[[#This Row],[Column4]])-SEARCH("(",Page012[[#This Row],[Column4]])-1)</f>
        <v>610</v>
      </c>
      <c r="I413" s="68">
        <v>610</v>
      </c>
      <c r="J413" s="68">
        <f t="shared" si="25"/>
        <v>610</v>
      </c>
      <c r="K413" s="68" t="str">
        <f t="shared" si="24"/>
        <v>26.97</v>
      </c>
      <c r="L413" s="100">
        <f t="shared" si="26"/>
        <v>26.545138663533699</v>
      </c>
      <c r="M413" s="68">
        <f t="shared" si="27"/>
        <v>26.545138663533699</v>
      </c>
    </row>
    <row r="414" spans="1:13">
      <c r="A414" s="100" t="str">
        <f>MID(Page012[[#This Row],[Column5]],SEARCH("(",Page012[[#This Row],[Column5]])+1,SEARCH(")",Page012[[#This Row],[Column5]])-SEARCH("(",Page012[[#This Row],[Column5]])-1)</f>
        <v>28.58</v>
      </c>
      <c r="B414" s="68" t="s">
        <v>475</v>
      </c>
      <c r="C414" s="68" t="s">
        <v>292</v>
      </c>
      <c r="D414" s="68" t="s">
        <v>292</v>
      </c>
      <c r="E414" s="68" t="s">
        <v>476</v>
      </c>
      <c r="F414" s="68" t="s">
        <v>432</v>
      </c>
      <c r="G414" s="68">
        <v>409.8</v>
      </c>
      <c r="H414" s="100" t="str">
        <f>MID(Page012[[#This Row],[Column4]],SEARCH("(",Page012[[#This Row],[Column4]])+1,SEARCH(")",Page012[[#This Row],[Column4]])-SEARCH("(",Page012[[#This Row],[Column4]])-1)</f>
        <v>610</v>
      </c>
      <c r="I414" s="68">
        <v>610</v>
      </c>
      <c r="J414" s="68">
        <f t="shared" si="25"/>
        <v>610</v>
      </c>
      <c r="K414" s="68" t="str">
        <f t="shared" si="24"/>
        <v>28.58</v>
      </c>
      <c r="L414" s="100">
        <f t="shared" si="26"/>
        <v>28.155138663533698</v>
      </c>
      <c r="M414" s="68">
        <f t="shared" si="27"/>
        <v>28.155138663533698</v>
      </c>
    </row>
    <row r="415" spans="1:13">
      <c r="A415" s="100" t="str">
        <f>MID(Page012[[#This Row],[Column5]],SEARCH("(",Page012[[#This Row],[Column5]])+1,SEARCH(")",Page012[[#This Row],[Column5]])-SEARCH("(",Page012[[#This Row],[Column5]])-1)</f>
        <v>30.18</v>
      </c>
      <c r="B415" s="68" t="s">
        <v>475</v>
      </c>
      <c r="C415" s="68" t="s">
        <v>292</v>
      </c>
      <c r="D415" s="68" t="s">
        <v>292</v>
      </c>
      <c r="E415" s="68" t="s">
        <v>476</v>
      </c>
      <c r="F415" s="68" t="s">
        <v>455</v>
      </c>
      <c r="G415" s="68">
        <v>431.55</v>
      </c>
      <c r="H415" s="100" t="str">
        <f>MID(Page012[[#This Row],[Column4]],SEARCH("(",Page012[[#This Row],[Column4]])+1,SEARCH(")",Page012[[#This Row],[Column4]])-SEARCH("(",Page012[[#This Row],[Column4]])-1)</f>
        <v>610</v>
      </c>
      <c r="I415" s="68">
        <v>610</v>
      </c>
      <c r="J415" s="68">
        <f t="shared" si="25"/>
        <v>610</v>
      </c>
      <c r="K415" s="68" t="str">
        <f t="shared" si="24"/>
        <v>30.18</v>
      </c>
      <c r="L415" s="100">
        <f t="shared" si="26"/>
        <v>29.7551386635337</v>
      </c>
      <c r="M415" s="68">
        <f t="shared" si="27"/>
        <v>29.7551386635337</v>
      </c>
    </row>
    <row r="416" spans="1:13">
      <c r="A416" s="100" t="str">
        <f>MID(Page012[[#This Row],[Column5]],SEARCH("(",Page012[[#This Row],[Column5]])+1,SEARCH(")",Page012[[#This Row],[Column5]])-SEARCH("(",Page012[[#This Row],[Column5]])-1)</f>
        <v>30.96</v>
      </c>
      <c r="B416" s="68" t="s">
        <v>475</v>
      </c>
      <c r="C416" s="68" t="s">
        <v>292</v>
      </c>
      <c r="D416" s="68" t="s">
        <v>304</v>
      </c>
      <c r="E416" s="68" t="s">
        <v>476</v>
      </c>
      <c r="F416" s="68" t="s">
        <v>456</v>
      </c>
      <c r="G416" s="68">
        <v>442.1</v>
      </c>
      <c r="H416" s="100" t="str">
        <f>MID(Page012[[#This Row],[Column4]],SEARCH("(",Page012[[#This Row],[Column4]])+1,SEARCH(")",Page012[[#This Row],[Column4]])-SEARCH("(",Page012[[#This Row],[Column4]])-1)</f>
        <v>610</v>
      </c>
      <c r="I416" s="68">
        <v>610</v>
      </c>
      <c r="J416" s="68">
        <f t="shared" si="25"/>
        <v>610</v>
      </c>
      <c r="K416" s="68" t="str">
        <f t="shared" si="24"/>
        <v>30.96</v>
      </c>
      <c r="L416" s="100">
        <f t="shared" si="26"/>
        <v>30.535138663533701</v>
      </c>
      <c r="M416" s="68">
        <f t="shared" si="27"/>
        <v>30.535138663533701</v>
      </c>
    </row>
    <row r="417" spans="1:13">
      <c r="A417" s="100" t="str">
        <f>MID(Page012[[#This Row],[Column5]],SEARCH("(",Page012[[#This Row],[Column5]])+1,SEARCH(")",Page012[[#This Row],[Column5]])-SEARCH("(",Page012[[#This Row],[Column5]])-1)</f>
        <v>31.75</v>
      </c>
      <c r="B417" s="68" t="s">
        <v>475</v>
      </c>
      <c r="C417" s="68" t="s">
        <v>292</v>
      </c>
      <c r="D417" s="68" t="s">
        <v>292</v>
      </c>
      <c r="E417" s="68" t="s">
        <v>476</v>
      </c>
      <c r="F417" s="68" t="s">
        <v>433</v>
      </c>
      <c r="G417" s="68">
        <v>452.1</v>
      </c>
      <c r="H417" s="100" t="str">
        <f>MID(Page012[[#This Row],[Column4]],SEARCH("(",Page012[[#This Row],[Column4]])+1,SEARCH(")",Page012[[#This Row],[Column4]])-SEARCH("(",Page012[[#This Row],[Column4]])-1)</f>
        <v>610</v>
      </c>
      <c r="I417" s="68">
        <v>610</v>
      </c>
      <c r="J417" s="68">
        <f t="shared" si="25"/>
        <v>610</v>
      </c>
      <c r="K417" s="68" t="str">
        <f t="shared" si="24"/>
        <v>31.75</v>
      </c>
      <c r="L417" s="100">
        <f t="shared" si="26"/>
        <v>31.3251386635337</v>
      </c>
      <c r="M417" s="68">
        <f t="shared" si="27"/>
        <v>31.3251386635337</v>
      </c>
    </row>
    <row r="418" spans="1:13">
      <c r="A418" s="100" t="str">
        <f>MID(Page012[[#This Row],[Column5]],SEARCH("(",Page012[[#This Row],[Column5]])+1,SEARCH(")",Page012[[#This Row],[Column5]])-SEARCH("(",Page012[[#This Row],[Column5]])-1)</f>
        <v>33.32</v>
      </c>
      <c r="B418" s="68" t="s">
        <v>475</v>
      </c>
      <c r="C418" s="68" t="s">
        <v>292</v>
      </c>
      <c r="D418" s="68" t="s">
        <v>292</v>
      </c>
      <c r="E418" s="68" t="s">
        <v>476</v>
      </c>
      <c r="F418" s="68" t="s">
        <v>440</v>
      </c>
      <c r="G418" s="68">
        <v>473.6</v>
      </c>
      <c r="H418" s="100" t="str">
        <f>MID(Page012[[#This Row],[Column4]],SEARCH("(",Page012[[#This Row],[Column4]])+1,SEARCH(")",Page012[[#This Row],[Column4]])-SEARCH("(",Page012[[#This Row],[Column4]])-1)</f>
        <v>610</v>
      </c>
      <c r="I418" s="68">
        <v>610</v>
      </c>
      <c r="J418" s="68">
        <f t="shared" si="25"/>
        <v>610</v>
      </c>
      <c r="K418" s="68" t="str">
        <f t="shared" si="24"/>
        <v>33.32</v>
      </c>
      <c r="L418" s="100">
        <f t="shared" si="26"/>
        <v>32.8951386635337</v>
      </c>
      <c r="M418" s="68">
        <f t="shared" si="27"/>
        <v>32.8951386635337</v>
      </c>
    </row>
    <row r="419" spans="1:13">
      <c r="A419" s="100" t="str">
        <f>MID(Page012[[#This Row],[Column5]],SEARCH("(",Page012[[#This Row],[Column5]])+1,SEARCH(")",Page012[[#This Row],[Column5]])-SEARCH("(",Page012[[#This Row],[Column5]])-1)</f>
        <v>34.93</v>
      </c>
      <c r="B419" s="68" t="s">
        <v>475</v>
      </c>
      <c r="C419" s="68" t="s">
        <v>292</v>
      </c>
      <c r="D419" s="68" t="s">
        <v>292</v>
      </c>
      <c r="E419" s="68" t="s">
        <v>476</v>
      </c>
      <c r="F419" s="68" t="s">
        <v>462</v>
      </c>
      <c r="G419" s="68">
        <v>495.31</v>
      </c>
      <c r="H419" s="100" t="str">
        <f>MID(Page012[[#This Row],[Column4]],SEARCH("(",Page012[[#This Row],[Column4]])+1,SEARCH(")",Page012[[#This Row],[Column4]])-SEARCH("(",Page012[[#This Row],[Column4]])-1)</f>
        <v>610</v>
      </c>
      <c r="I419" s="68">
        <v>610</v>
      </c>
      <c r="J419" s="68">
        <f t="shared" si="25"/>
        <v>610</v>
      </c>
      <c r="K419" s="68" t="str">
        <f t="shared" si="24"/>
        <v>34.93</v>
      </c>
      <c r="L419" s="100">
        <f t="shared" si="26"/>
        <v>34.5051386635337</v>
      </c>
      <c r="M419" s="68">
        <f t="shared" si="27"/>
        <v>34.5051386635337</v>
      </c>
    </row>
    <row r="420" spans="1:13">
      <c r="A420" s="100" t="str">
        <f>MID(Page012[[#This Row],[Column5]],SEARCH("(",Page012[[#This Row],[Column5]])+1,SEARCH(")",Page012[[#This Row],[Column5]])-SEARCH("(",Page012[[#This Row],[Column5]])-1)</f>
        <v>36.53</v>
      </c>
      <c r="B420" s="68" t="s">
        <v>475</v>
      </c>
      <c r="C420" s="68" t="s">
        <v>292</v>
      </c>
      <c r="D420" s="68" t="s">
        <v>292</v>
      </c>
      <c r="E420" s="68" t="s">
        <v>476</v>
      </c>
      <c r="F420" s="68" t="s">
        <v>457</v>
      </c>
      <c r="G420" s="68">
        <v>516.63</v>
      </c>
      <c r="H420" s="100" t="str">
        <f>MID(Page012[[#This Row],[Column4]],SEARCH("(",Page012[[#This Row],[Column4]])+1,SEARCH(")",Page012[[#This Row],[Column4]])-SEARCH("(",Page012[[#This Row],[Column4]])-1)</f>
        <v>610</v>
      </c>
      <c r="I420" s="68">
        <v>610</v>
      </c>
      <c r="J420" s="68">
        <f t="shared" si="25"/>
        <v>610</v>
      </c>
      <c r="K420" s="68" t="str">
        <f t="shared" si="24"/>
        <v>36.53</v>
      </c>
      <c r="L420" s="100">
        <f t="shared" si="26"/>
        <v>36.105138663533701</v>
      </c>
      <c r="M420" s="68">
        <f t="shared" si="27"/>
        <v>36.105138663533701</v>
      </c>
    </row>
    <row r="421" spans="1:13">
      <c r="A421" s="100" t="str">
        <f>MID(Page012[[#This Row],[Column5]],SEARCH("(",Page012[[#This Row],[Column5]])+1,SEARCH(")",Page012[[#This Row],[Column5]])-SEARCH("(",Page012[[#This Row],[Column5]])-1)</f>
        <v>38.10</v>
      </c>
      <c r="B421" s="68" t="s">
        <v>475</v>
      </c>
      <c r="C421" s="68" t="s">
        <v>292</v>
      </c>
      <c r="D421" s="68" t="s">
        <v>292</v>
      </c>
      <c r="E421" s="68" t="s">
        <v>476</v>
      </c>
      <c r="F421" s="68" t="s">
        <v>468</v>
      </c>
      <c r="G421" s="68">
        <v>537.52</v>
      </c>
      <c r="H421" s="100" t="str">
        <f>MID(Page012[[#This Row],[Column4]],SEARCH("(",Page012[[#This Row],[Column4]])+1,SEARCH(")",Page012[[#This Row],[Column4]])-SEARCH("(",Page012[[#This Row],[Column4]])-1)</f>
        <v>610</v>
      </c>
      <c r="I421" s="68">
        <v>610</v>
      </c>
      <c r="J421" s="68">
        <f t="shared" si="25"/>
        <v>610</v>
      </c>
      <c r="K421" s="68" t="str">
        <f t="shared" si="24"/>
        <v>38.10</v>
      </c>
      <c r="L421" s="100">
        <f t="shared" si="26"/>
        <v>37.675138663533701</v>
      </c>
      <c r="M421" s="68">
        <f t="shared" si="27"/>
        <v>37.675138663533701</v>
      </c>
    </row>
    <row r="422" spans="1:13">
      <c r="A422" s="100" t="str">
        <f>MID(Page012[[#This Row],[Column5]],SEARCH("(",Page012[[#This Row],[Column5]])+1,SEARCH(")",Page012[[#This Row],[Column5]])-SEARCH("(",Page012[[#This Row],[Column5]])-1)</f>
        <v>38.89</v>
      </c>
      <c r="B422" s="68" t="s">
        <v>475</v>
      </c>
      <c r="C422" s="68" t="s">
        <v>292</v>
      </c>
      <c r="D422" s="68" t="s">
        <v>418</v>
      </c>
      <c r="E422" s="68" t="s">
        <v>476</v>
      </c>
      <c r="F422" s="68" t="s">
        <v>478</v>
      </c>
      <c r="G422" s="68">
        <v>547.74</v>
      </c>
      <c r="H422" s="100" t="str">
        <f>MID(Page012[[#This Row],[Column4]],SEARCH("(",Page012[[#This Row],[Column4]])+1,SEARCH(")",Page012[[#This Row],[Column4]])-SEARCH("(",Page012[[#This Row],[Column4]])-1)</f>
        <v>610</v>
      </c>
      <c r="I422" s="68">
        <v>610</v>
      </c>
      <c r="J422" s="68">
        <f t="shared" si="25"/>
        <v>610</v>
      </c>
      <c r="K422" s="68" t="str">
        <f t="shared" si="24"/>
        <v>38.89</v>
      </c>
      <c r="L422" s="100">
        <f t="shared" si="26"/>
        <v>38.4651386635337</v>
      </c>
      <c r="M422" s="68">
        <f t="shared" si="27"/>
        <v>38.4651386635337</v>
      </c>
    </row>
    <row r="423" spans="1:13">
      <c r="A423" s="100" t="str">
        <f>MID(Page012[[#This Row],[Column5]],SEARCH("(",Page012[[#This Row],[Column5]])+1,SEARCH(")",Page012[[#This Row],[Column5]])-SEARCH("(",Page012[[#This Row],[Column5]])-1)</f>
        <v>39.67</v>
      </c>
      <c r="B423" s="68" t="s">
        <v>475</v>
      </c>
      <c r="C423" s="68" t="s">
        <v>292</v>
      </c>
      <c r="D423" s="68" t="s">
        <v>292</v>
      </c>
      <c r="E423" s="68" t="s">
        <v>476</v>
      </c>
      <c r="F423" s="68" t="s">
        <v>463</v>
      </c>
      <c r="G423" s="68">
        <v>557.94000000000005</v>
      </c>
      <c r="H423" s="100" t="str">
        <f>MID(Page012[[#This Row],[Column4]],SEARCH("(",Page012[[#This Row],[Column4]])+1,SEARCH(")",Page012[[#This Row],[Column4]])-SEARCH("(",Page012[[#This Row],[Column4]])-1)</f>
        <v>610</v>
      </c>
      <c r="I423" s="68">
        <v>610</v>
      </c>
      <c r="J423" s="68">
        <f t="shared" si="25"/>
        <v>610</v>
      </c>
      <c r="K423" s="68" t="str">
        <f t="shared" si="24"/>
        <v>39.67</v>
      </c>
      <c r="L423" s="100">
        <f t="shared" si="26"/>
        <v>39.245138663533702</v>
      </c>
      <c r="M423" s="68">
        <f t="shared" si="27"/>
        <v>39.245138663533702</v>
      </c>
    </row>
    <row r="424" spans="1:13">
      <c r="A424" s="100" t="str">
        <f>MID(Page012[[#This Row],[Column5]],SEARCH("(",Page012[[#This Row],[Column5]])+1,SEARCH(")",Page012[[#This Row],[Column5]])-SEARCH("(",Page012[[#This Row],[Column5]])-1)</f>
        <v>46.02</v>
      </c>
      <c r="B424" s="68" t="s">
        <v>475</v>
      </c>
      <c r="C424" s="68" t="s">
        <v>292</v>
      </c>
      <c r="D424" s="68" t="s">
        <v>392</v>
      </c>
      <c r="E424" s="68" t="s">
        <v>476</v>
      </c>
      <c r="F424" s="68" t="s">
        <v>479</v>
      </c>
      <c r="G424" s="68">
        <v>640.08000000000004</v>
      </c>
      <c r="H424" s="100" t="str">
        <f>MID(Page012[[#This Row],[Column4]],SEARCH("(",Page012[[#This Row],[Column4]])+1,SEARCH(")",Page012[[#This Row],[Column4]])-SEARCH("(",Page012[[#This Row],[Column4]])-1)</f>
        <v>610</v>
      </c>
      <c r="I424" s="68">
        <v>610</v>
      </c>
      <c r="J424" s="68">
        <f t="shared" si="25"/>
        <v>610</v>
      </c>
      <c r="K424" s="68" t="str">
        <f t="shared" si="24"/>
        <v>46.02</v>
      </c>
      <c r="L424" s="100">
        <f t="shared" si="26"/>
        <v>45.595138663533703</v>
      </c>
      <c r="M424" s="68">
        <f t="shared" si="27"/>
        <v>45.595138663533703</v>
      </c>
    </row>
    <row r="425" spans="1:13">
      <c r="A425" s="100" t="str">
        <f>MID(Page012[[#This Row],[Column5]],SEARCH("(",Page012[[#This Row],[Column5]])+1,SEARCH(")",Page012[[#This Row],[Column5]])-SEARCH("(",Page012[[#This Row],[Column5]])-1)</f>
        <v>52.37</v>
      </c>
      <c r="B425" s="68" t="s">
        <v>475</v>
      </c>
      <c r="C425" s="68" t="s">
        <v>292</v>
      </c>
      <c r="D425" s="68" t="s">
        <v>420</v>
      </c>
      <c r="E425" s="68" t="s">
        <v>476</v>
      </c>
      <c r="F425" s="68" t="s">
        <v>480</v>
      </c>
      <c r="G425" s="68">
        <v>720.19</v>
      </c>
      <c r="H425" s="100" t="str">
        <f>MID(Page012[[#This Row],[Column4]],SEARCH("(",Page012[[#This Row],[Column4]])+1,SEARCH(")",Page012[[#This Row],[Column4]])-SEARCH("(",Page012[[#This Row],[Column4]])-1)</f>
        <v>610</v>
      </c>
      <c r="I425" s="68">
        <v>610</v>
      </c>
      <c r="J425" s="68">
        <f t="shared" si="25"/>
        <v>610</v>
      </c>
      <c r="K425" s="68" t="str">
        <f t="shared" si="24"/>
        <v>52.37</v>
      </c>
      <c r="L425" s="100">
        <f t="shared" si="26"/>
        <v>51.945138663533697</v>
      </c>
      <c r="M425" s="68">
        <f t="shared" si="27"/>
        <v>51.945138663533697</v>
      </c>
    </row>
    <row r="426" spans="1:13">
      <c r="A426" s="100" t="str">
        <f>MID(Page012[[#This Row],[Column5]],SEARCH("(",Page012[[#This Row],[Column5]])+1,SEARCH(")",Page012[[#This Row],[Column5]])-SEARCH("(",Page012[[#This Row],[Column5]])-1)</f>
        <v>59.54</v>
      </c>
      <c r="B426" s="68" t="s">
        <v>475</v>
      </c>
      <c r="C426" s="68" t="s">
        <v>292</v>
      </c>
      <c r="D426" s="68" t="s">
        <v>306</v>
      </c>
      <c r="E426" s="68" t="s">
        <v>476</v>
      </c>
      <c r="F426" s="68" t="s">
        <v>481</v>
      </c>
      <c r="G426" s="68">
        <v>808.27</v>
      </c>
      <c r="H426" s="100" t="str">
        <f>MID(Page012[[#This Row],[Column4]],SEARCH("(",Page012[[#This Row],[Column4]])+1,SEARCH(")",Page012[[#This Row],[Column4]])-SEARCH("(",Page012[[#This Row],[Column4]])-1)</f>
        <v>610</v>
      </c>
      <c r="I426" s="68">
        <v>610</v>
      </c>
      <c r="J426" s="68">
        <f t="shared" si="25"/>
        <v>610</v>
      </c>
      <c r="K426" s="68" t="str">
        <f t="shared" si="24"/>
        <v>59.54</v>
      </c>
      <c r="L426" s="100">
        <f t="shared" si="26"/>
        <v>59.115138663533699</v>
      </c>
      <c r="M426" s="68">
        <f t="shared" si="27"/>
        <v>59.115138663533699</v>
      </c>
    </row>
    <row r="427" spans="1:13">
      <c r="A427" s="100" t="str">
        <f>MID(Page012[[#This Row],[Column5]],SEARCH("(",Page012[[#This Row],[Column5]])+1,SEARCH(")",Page012[[#This Row],[Column5]])-SEARCH("(",Page012[[#This Row],[Column5]])-1)</f>
        <v>6.35</v>
      </c>
      <c r="B427" s="68" t="s">
        <v>482</v>
      </c>
      <c r="C427" s="68" t="s">
        <v>292</v>
      </c>
      <c r="D427" s="68" t="s">
        <v>292</v>
      </c>
      <c r="E427" s="68" t="s">
        <v>483</v>
      </c>
      <c r="F427" s="68" t="s">
        <v>348</v>
      </c>
      <c r="G427" s="68">
        <v>102.36</v>
      </c>
      <c r="H427" s="100" t="str">
        <f>MID(Page012[[#This Row],[Column4]],SEARCH("(",Page012[[#This Row],[Column4]])+1,SEARCH(")",Page012[[#This Row],[Column4]])-SEARCH("(",Page012[[#This Row],[Column4]])-1)</f>
        <v>660</v>
      </c>
      <c r="I427" s="68">
        <v>660</v>
      </c>
      <c r="J427" s="68">
        <f t="shared" si="25"/>
        <v>0</v>
      </c>
      <c r="K427" s="68">
        <f t="shared" si="24"/>
        <v>0</v>
      </c>
      <c r="L427" s="100">
        <f t="shared" si="26"/>
        <v>-0.42486133646629831</v>
      </c>
      <c r="M427" s="68">
        <f t="shared" si="27"/>
        <v>10</v>
      </c>
    </row>
    <row r="428" spans="1:13">
      <c r="A428" s="100" t="str">
        <f>MID(Page012[[#This Row],[Column5]],SEARCH("(",Page012[[#This Row],[Column5]])+1,SEARCH(")",Page012[[#This Row],[Column5]])-SEARCH("(",Page012[[#This Row],[Column5]])-1)</f>
        <v>7.14</v>
      </c>
      <c r="B428" s="68" t="s">
        <v>482</v>
      </c>
      <c r="C428" s="68" t="s">
        <v>292</v>
      </c>
      <c r="D428" s="68" t="s">
        <v>292</v>
      </c>
      <c r="E428" s="68" t="s">
        <v>483</v>
      </c>
      <c r="F428" s="68" t="s">
        <v>360</v>
      </c>
      <c r="G428" s="68">
        <v>114.96</v>
      </c>
      <c r="H428" s="100" t="str">
        <f>MID(Page012[[#This Row],[Column4]],SEARCH("(",Page012[[#This Row],[Column4]])+1,SEARCH(")",Page012[[#This Row],[Column4]])-SEARCH("(",Page012[[#This Row],[Column4]])-1)</f>
        <v>660</v>
      </c>
      <c r="I428" s="68">
        <v>660</v>
      </c>
      <c r="J428" s="68">
        <f t="shared" si="25"/>
        <v>0</v>
      </c>
      <c r="K428" s="68">
        <f t="shared" si="24"/>
        <v>0</v>
      </c>
      <c r="L428" s="100">
        <f t="shared" si="26"/>
        <v>-0.42486133646629831</v>
      </c>
      <c r="M428" s="68">
        <f t="shared" si="27"/>
        <v>10</v>
      </c>
    </row>
    <row r="429" spans="1:13">
      <c r="A429" s="100" t="str">
        <f>MID(Page012[[#This Row],[Column5]],SEARCH("(",Page012[[#This Row],[Column5]])+1,SEARCH(")",Page012[[#This Row],[Column5]])-SEARCH("(",Page012[[#This Row],[Column5]])-1)</f>
        <v>7.92</v>
      </c>
      <c r="B429" s="68" t="s">
        <v>482</v>
      </c>
      <c r="C429" s="68" t="s">
        <v>292</v>
      </c>
      <c r="D429" s="68" t="s">
        <v>293</v>
      </c>
      <c r="E429" s="68" t="s">
        <v>483</v>
      </c>
      <c r="F429" s="68" t="s">
        <v>390</v>
      </c>
      <c r="G429" s="68">
        <v>127.36</v>
      </c>
      <c r="H429" s="100" t="str">
        <f>MID(Page012[[#This Row],[Column4]],SEARCH("(",Page012[[#This Row],[Column4]])+1,SEARCH(")",Page012[[#This Row],[Column4]])-SEARCH("(",Page012[[#This Row],[Column4]])-1)</f>
        <v>660</v>
      </c>
      <c r="I429" s="68">
        <v>660</v>
      </c>
      <c r="J429" s="68">
        <f t="shared" si="25"/>
        <v>0</v>
      </c>
      <c r="K429" s="68">
        <f t="shared" si="24"/>
        <v>0</v>
      </c>
      <c r="L429" s="100">
        <f t="shared" si="26"/>
        <v>-0.42486133646629831</v>
      </c>
      <c r="M429" s="68">
        <f t="shared" si="27"/>
        <v>10</v>
      </c>
    </row>
    <row r="430" spans="1:13">
      <c r="A430" s="100" t="str">
        <f>MID(Page012[[#This Row],[Column5]],SEARCH("(",Page012[[#This Row],[Column5]])+1,SEARCH(")",Page012[[#This Row],[Column5]])-SEARCH("(",Page012[[#This Row],[Column5]])-1)</f>
        <v>8.74</v>
      </c>
      <c r="B430" s="68" t="s">
        <v>482</v>
      </c>
      <c r="C430" s="68" t="s">
        <v>292</v>
      </c>
      <c r="D430" s="68" t="s">
        <v>292</v>
      </c>
      <c r="E430" s="68" t="s">
        <v>483</v>
      </c>
      <c r="F430" s="68" t="s">
        <v>367</v>
      </c>
      <c r="G430" s="68">
        <v>140.37</v>
      </c>
      <c r="H430" s="100" t="str">
        <f>MID(Page012[[#This Row],[Column4]],SEARCH("(",Page012[[#This Row],[Column4]])+1,SEARCH(")",Page012[[#This Row],[Column4]])-SEARCH("(",Page012[[#This Row],[Column4]])-1)</f>
        <v>660</v>
      </c>
      <c r="I430" s="68">
        <v>660</v>
      </c>
      <c r="J430" s="68">
        <f t="shared" si="25"/>
        <v>0</v>
      </c>
      <c r="K430" s="68">
        <f t="shared" si="24"/>
        <v>0</v>
      </c>
      <c r="L430" s="100">
        <f t="shared" si="26"/>
        <v>-0.42486133646629831</v>
      </c>
      <c r="M430" s="68">
        <f t="shared" si="27"/>
        <v>10</v>
      </c>
    </row>
    <row r="431" spans="1:13">
      <c r="A431" s="100" t="str">
        <f>MID(Page012[[#This Row],[Column5]],SEARCH("(",Page012[[#This Row],[Column5]])+1,SEARCH(")",Page012[[#This Row],[Column5]])-SEARCH("(",Page012[[#This Row],[Column5]])-1)</f>
        <v>9.53</v>
      </c>
      <c r="B431" s="68" t="s">
        <v>482</v>
      </c>
      <c r="C431" s="68" t="s">
        <v>300</v>
      </c>
      <c r="D431" s="68" t="s">
        <v>292</v>
      </c>
      <c r="E431" s="68" t="s">
        <v>483</v>
      </c>
      <c r="F431" s="68" t="s">
        <v>376</v>
      </c>
      <c r="G431" s="68">
        <v>152.88</v>
      </c>
      <c r="H431" s="100" t="str">
        <f>MID(Page012[[#This Row],[Column4]],SEARCH("(",Page012[[#This Row],[Column4]])+1,SEARCH(")",Page012[[#This Row],[Column4]])-SEARCH("(",Page012[[#This Row],[Column4]])-1)</f>
        <v>660</v>
      </c>
      <c r="I431" s="68">
        <v>660</v>
      </c>
      <c r="J431" s="68">
        <f t="shared" si="25"/>
        <v>0</v>
      </c>
      <c r="K431" s="68">
        <f t="shared" si="24"/>
        <v>0</v>
      </c>
      <c r="L431" s="100">
        <f t="shared" si="26"/>
        <v>-0.42486133646629831</v>
      </c>
      <c r="M431" s="68">
        <f t="shared" si="27"/>
        <v>10</v>
      </c>
    </row>
    <row r="432" spans="1:13">
      <c r="A432" s="100" t="str">
        <f>MID(Page012[[#This Row],[Column5]],SEARCH("(",Page012[[#This Row],[Column5]])+1,SEARCH(")",Page012[[#This Row],[Column5]])-SEARCH("(",Page012[[#This Row],[Column5]])-1)</f>
        <v>10.31</v>
      </c>
      <c r="B432" s="68" t="s">
        <v>482</v>
      </c>
      <c r="C432" s="68" t="s">
        <v>292</v>
      </c>
      <c r="D432" s="68" t="s">
        <v>292</v>
      </c>
      <c r="E432" s="68" t="s">
        <v>483</v>
      </c>
      <c r="F432" s="68" t="s">
        <v>417</v>
      </c>
      <c r="G432" s="68">
        <v>165.19</v>
      </c>
      <c r="H432" s="100" t="str">
        <f>MID(Page012[[#This Row],[Column4]],SEARCH("(",Page012[[#This Row],[Column4]])+1,SEARCH(")",Page012[[#This Row],[Column4]])-SEARCH("(",Page012[[#This Row],[Column4]])-1)</f>
        <v>660</v>
      </c>
      <c r="I432" s="68">
        <v>660</v>
      </c>
      <c r="J432" s="68">
        <f t="shared" si="25"/>
        <v>0</v>
      </c>
      <c r="K432" s="68">
        <f t="shared" si="24"/>
        <v>0</v>
      </c>
      <c r="L432" s="100">
        <f t="shared" si="26"/>
        <v>-0.42486133646629831</v>
      </c>
      <c r="M432" s="68">
        <f t="shared" si="27"/>
        <v>10</v>
      </c>
    </row>
    <row r="433" spans="1:13">
      <c r="A433" s="100" t="str">
        <f>MID(Page012[[#This Row],[Column5]],SEARCH("(",Page012[[#This Row],[Column5]])+1,SEARCH(")",Page012[[#This Row],[Column5]])-SEARCH("(",Page012[[#This Row],[Column5]])-1)</f>
        <v>11.13</v>
      </c>
      <c r="B433" s="68" t="s">
        <v>482</v>
      </c>
      <c r="C433" s="68" t="s">
        <v>292</v>
      </c>
      <c r="D433" s="68" t="s">
        <v>292</v>
      </c>
      <c r="E433" s="68" t="s">
        <v>483</v>
      </c>
      <c r="F433" s="68" t="s">
        <v>381</v>
      </c>
      <c r="G433" s="68">
        <v>178.1</v>
      </c>
      <c r="H433" s="100" t="str">
        <f>MID(Page012[[#This Row],[Column4]],SEARCH("(",Page012[[#This Row],[Column4]])+1,SEARCH(")",Page012[[#This Row],[Column4]])-SEARCH("(",Page012[[#This Row],[Column4]])-1)</f>
        <v>660</v>
      </c>
      <c r="I433" s="68">
        <v>660</v>
      </c>
      <c r="J433" s="68">
        <f t="shared" si="25"/>
        <v>0</v>
      </c>
      <c r="K433" s="68">
        <f t="shared" si="24"/>
        <v>0</v>
      </c>
      <c r="L433" s="100">
        <f t="shared" si="26"/>
        <v>-0.42486133646629831</v>
      </c>
      <c r="M433" s="68">
        <f t="shared" si="27"/>
        <v>10</v>
      </c>
    </row>
    <row r="434" spans="1:13">
      <c r="A434" s="100" t="str">
        <f>MID(Page012[[#This Row],[Column5]],SEARCH("(",Page012[[#This Row],[Column5]])+1,SEARCH(")",Page012[[#This Row],[Column5]])-SEARCH("(",Page012[[#This Row],[Column5]])-1)</f>
        <v>11.91</v>
      </c>
      <c r="B434" s="68" t="s">
        <v>482</v>
      </c>
      <c r="C434" s="68" t="s">
        <v>292</v>
      </c>
      <c r="D434" s="68" t="s">
        <v>292</v>
      </c>
      <c r="E434" s="68" t="s">
        <v>483</v>
      </c>
      <c r="F434" s="68" t="s">
        <v>444</v>
      </c>
      <c r="G434" s="68">
        <v>190.6</v>
      </c>
      <c r="H434" s="100" t="str">
        <f>MID(Page012[[#This Row],[Column4]],SEARCH("(",Page012[[#This Row],[Column4]])+1,SEARCH(")",Page012[[#This Row],[Column4]])-SEARCH("(",Page012[[#This Row],[Column4]])-1)</f>
        <v>660</v>
      </c>
      <c r="I434" s="68">
        <v>660</v>
      </c>
      <c r="J434" s="68">
        <f t="shared" si="25"/>
        <v>0</v>
      </c>
      <c r="K434" s="68">
        <f t="shared" si="24"/>
        <v>0</v>
      </c>
      <c r="L434" s="100">
        <f t="shared" si="26"/>
        <v>-0.42486133646629831</v>
      </c>
      <c r="M434" s="68">
        <f t="shared" si="27"/>
        <v>10</v>
      </c>
    </row>
    <row r="435" spans="1:13">
      <c r="A435" s="100" t="str">
        <f>MID(Page012[[#This Row],[Column5]],SEARCH("(",Page012[[#This Row],[Column5]])+1,SEARCH(")",Page012[[#This Row],[Column5]])-SEARCH("(",Page012[[#This Row],[Column5]])-1)</f>
        <v>12.70</v>
      </c>
      <c r="B435" s="68" t="s">
        <v>482</v>
      </c>
      <c r="C435" s="68" t="s">
        <v>303</v>
      </c>
      <c r="D435" s="68" t="s">
        <v>413</v>
      </c>
      <c r="E435" s="68" t="s">
        <v>483</v>
      </c>
      <c r="F435" s="68" t="s">
        <v>399</v>
      </c>
      <c r="G435" s="68">
        <v>202.74</v>
      </c>
      <c r="H435" s="100" t="str">
        <f>MID(Page012[[#This Row],[Column4]],SEARCH("(",Page012[[#This Row],[Column4]])+1,SEARCH(")",Page012[[#This Row],[Column4]])-SEARCH("(",Page012[[#This Row],[Column4]])-1)</f>
        <v>660</v>
      </c>
      <c r="I435" s="68">
        <v>660</v>
      </c>
      <c r="J435" s="68">
        <f t="shared" si="25"/>
        <v>0</v>
      </c>
      <c r="K435" s="68">
        <f t="shared" si="24"/>
        <v>0</v>
      </c>
      <c r="L435" s="100">
        <f t="shared" si="26"/>
        <v>-0.42486133646629831</v>
      </c>
      <c r="M435" s="68">
        <f t="shared" si="27"/>
        <v>10</v>
      </c>
    </row>
    <row r="436" spans="1:13">
      <c r="A436" s="100" t="str">
        <f>MID(Page012[[#This Row],[Column5]],SEARCH("(",Page012[[#This Row],[Column5]])+1,SEARCH(")",Page012[[#This Row],[Column5]])-SEARCH("(",Page012[[#This Row],[Column5]])-1)</f>
        <v>14.27</v>
      </c>
      <c r="B436" s="68" t="s">
        <v>482</v>
      </c>
      <c r="C436" s="68" t="s">
        <v>292</v>
      </c>
      <c r="D436" s="68" t="s">
        <v>292</v>
      </c>
      <c r="E436" s="68" t="s">
        <v>483</v>
      </c>
      <c r="F436" s="68" t="s">
        <v>406</v>
      </c>
      <c r="G436" s="68">
        <v>227.54</v>
      </c>
      <c r="H436" s="100" t="str">
        <f>MID(Page012[[#This Row],[Column4]],SEARCH("(",Page012[[#This Row],[Column4]])+1,SEARCH(")",Page012[[#This Row],[Column4]])-SEARCH("(",Page012[[#This Row],[Column4]])-1)</f>
        <v>660</v>
      </c>
      <c r="I436" s="68">
        <v>660</v>
      </c>
      <c r="J436" s="68">
        <f t="shared" si="25"/>
        <v>0</v>
      </c>
      <c r="K436" s="68">
        <f t="shared" si="24"/>
        <v>0</v>
      </c>
      <c r="L436" s="100">
        <f t="shared" si="26"/>
        <v>-0.42486133646629831</v>
      </c>
      <c r="M436" s="68">
        <f t="shared" si="27"/>
        <v>10</v>
      </c>
    </row>
    <row r="437" spans="1:13">
      <c r="A437" s="100" t="str">
        <f>MID(Page012[[#This Row],[Column5]],SEARCH("(",Page012[[#This Row],[Column5]])+1,SEARCH(")",Page012[[#This Row],[Column5]])-SEARCH("(",Page012[[#This Row],[Column5]])-1)</f>
        <v>15.88</v>
      </c>
      <c r="B437" s="68" t="s">
        <v>482</v>
      </c>
      <c r="C437" s="68" t="s">
        <v>292</v>
      </c>
      <c r="D437" s="68" t="s">
        <v>292</v>
      </c>
      <c r="E437" s="68" t="s">
        <v>483</v>
      </c>
      <c r="F437" s="68" t="s">
        <v>400</v>
      </c>
      <c r="G437" s="68">
        <v>252.25</v>
      </c>
      <c r="H437" s="100" t="str">
        <f>MID(Page012[[#This Row],[Column4]],SEARCH("(",Page012[[#This Row],[Column4]])+1,SEARCH(")",Page012[[#This Row],[Column4]])-SEARCH("(",Page012[[#This Row],[Column4]])-1)</f>
        <v>660</v>
      </c>
      <c r="I437" s="68">
        <v>660</v>
      </c>
      <c r="J437" s="68">
        <f t="shared" si="25"/>
        <v>0</v>
      </c>
      <c r="K437" s="68">
        <f t="shared" si="24"/>
        <v>0</v>
      </c>
      <c r="L437" s="100">
        <f t="shared" si="26"/>
        <v>-0.42486133646629831</v>
      </c>
      <c r="M437" s="68">
        <f t="shared" si="27"/>
        <v>10</v>
      </c>
    </row>
    <row r="438" spans="1:13">
      <c r="A438" s="100" t="str">
        <f>MID(Page012[[#This Row],[Column5]],SEARCH("(",Page012[[#This Row],[Column5]])+1,SEARCH(")",Page012[[#This Row],[Column5]])-SEARCH("(",Page012[[#This Row],[Column5]])-1)</f>
        <v>17.48</v>
      </c>
      <c r="B438" s="68" t="s">
        <v>482</v>
      </c>
      <c r="C438" s="68" t="s">
        <v>292</v>
      </c>
      <c r="D438" s="68" t="s">
        <v>292</v>
      </c>
      <c r="E438" s="68" t="s">
        <v>483</v>
      </c>
      <c r="F438" s="68" t="s">
        <v>438</v>
      </c>
      <c r="G438" s="68">
        <v>276.98</v>
      </c>
      <c r="H438" s="100" t="str">
        <f>MID(Page012[[#This Row],[Column4]],SEARCH("(",Page012[[#This Row],[Column4]])+1,SEARCH(")",Page012[[#This Row],[Column4]])-SEARCH("(",Page012[[#This Row],[Column4]])-1)</f>
        <v>660</v>
      </c>
      <c r="I438" s="68">
        <v>660</v>
      </c>
      <c r="J438" s="68">
        <f t="shared" si="25"/>
        <v>0</v>
      </c>
      <c r="K438" s="68">
        <f t="shared" si="24"/>
        <v>0</v>
      </c>
      <c r="L438" s="100">
        <f t="shared" si="26"/>
        <v>-0.42486133646629831</v>
      </c>
      <c r="M438" s="68">
        <f t="shared" si="27"/>
        <v>10</v>
      </c>
    </row>
    <row r="439" spans="1:13">
      <c r="A439" s="100" t="str">
        <f>MID(Page012[[#This Row],[Column5]],SEARCH("(",Page012[[#This Row],[Column5]])+1,SEARCH(")",Page012[[#This Row],[Column5]])-SEARCH("(",Page012[[#This Row],[Column5]])-1)</f>
        <v>19.05</v>
      </c>
      <c r="B439" s="68" t="s">
        <v>482</v>
      </c>
      <c r="C439" s="68" t="s">
        <v>292</v>
      </c>
      <c r="D439" s="68" t="s">
        <v>292</v>
      </c>
      <c r="E439" s="68" t="s">
        <v>483</v>
      </c>
      <c r="F439" s="68" t="s">
        <v>401</v>
      </c>
      <c r="G439" s="68">
        <v>301.7</v>
      </c>
      <c r="H439" s="100" t="str">
        <f>MID(Page012[[#This Row],[Column4]],SEARCH("(",Page012[[#This Row],[Column4]])+1,SEARCH(")",Page012[[#This Row],[Column4]])-SEARCH("(",Page012[[#This Row],[Column4]])-1)</f>
        <v>660</v>
      </c>
      <c r="I439" s="68">
        <v>660</v>
      </c>
      <c r="J439" s="68">
        <f t="shared" si="25"/>
        <v>0</v>
      </c>
      <c r="K439" s="68">
        <f t="shared" si="24"/>
        <v>0</v>
      </c>
      <c r="L439" s="100">
        <f t="shared" si="26"/>
        <v>-0.42486133646629831</v>
      </c>
      <c r="M439" s="68">
        <f t="shared" si="27"/>
        <v>10</v>
      </c>
    </row>
    <row r="440" spans="1:13">
      <c r="A440" s="100" t="str">
        <f>MID(Page012[[#This Row],[Column5]],SEARCH("(",Page012[[#This Row],[Column5]])+1,SEARCH(")",Page012[[#This Row],[Column5]])-SEARCH("(",Page012[[#This Row],[Column5]])-1)</f>
        <v>20.62</v>
      </c>
      <c r="B440" s="68" t="s">
        <v>482</v>
      </c>
      <c r="C440" s="68" t="s">
        <v>292</v>
      </c>
      <c r="D440" s="68" t="s">
        <v>292</v>
      </c>
      <c r="E440" s="68" t="s">
        <v>483</v>
      </c>
      <c r="F440" s="68" t="s">
        <v>421</v>
      </c>
      <c r="G440" s="68">
        <v>325.14</v>
      </c>
      <c r="H440" s="100" t="str">
        <f>MID(Page012[[#This Row],[Column4]],SEARCH("(",Page012[[#This Row],[Column4]])+1,SEARCH(")",Page012[[#This Row],[Column4]])-SEARCH("(",Page012[[#This Row],[Column4]])-1)</f>
        <v>660</v>
      </c>
      <c r="I440" s="68">
        <v>660</v>
      </c>
      <c r="J440" s="68">
        <f t="shared" si="25"/>
        <v>0</v>
      </c>
      <c r="K440" s="68">
        <f t="shared" si="24"/>
        <v>0</v>
      </c>
      <c r="L440" s="100">
        <f t="shared" si="26"/>
        <v>-0.42486133646629831</v>
      </c>
      <c r="M440" s="68">
        <f t="shared" si="27"/>
        <v>10</v>
      </c>
    </row>
    <row r="441" spans="1:13">
      <c r="A441" s="100" t="str">
        <f>MID(Page012[[#This Row],[Column5]],SEARCH("(",Page012[[#This Row],[Column5]])+1,SEARCH(")",Page012[[#This Row],[Column5]])-SEARCH("(",Page012[[#This Row],[Column5]])-1)</f>
        <v>22.23</v>
      </c>
      <c r="B441" s="68" t="s">
        <v>482</v>
      </c>
      <c r="C441" s="68" t="s">
        <v>292</v>
      </c>
      <c r="D441" s="68" t="s">
        <v>292</v>
      </c>
      <c r="E441" s="68" t="s">
        <v>483</v>
      </c>
      <c r="F441" s="68" t="s">
        <v>409</v>
      </c>
      <c r="G441" s="68">
        <v>349.64</v>
      </c>
      <c r="H441" s="100" t="str">
        <f>MID(Page012[[#This Row],[Column4]],SEARCH("(",Page012[[#This Row],[Column4]])+1,SEARCH(")",Page012[[#This Row],[Column4]])-SEARCH("(",Page012[[#This Row],[Column4]])-1)</f>
        <v>660</v>
      </c>
      <c r="I441" s="68">
        <v>660</v>
      </c>
      <c r="J441" s="68">
        <f t="shared" si="25"/>
        <v>0</v>
      </c>
      <c r="K441" s="68">
        <f t="shared" si="24"/>
        <v>0</v>
      </c>
      <c r="L441" s="100">
        <f t="shared" si="26"/>
        <v>-0.42486133646629831</v>
      </c>
      <c r="M441" s="68">
        <f t="shared" si="27"/>
        <v>10</v>
      </c>
    </row>
    <row r="442" spans="1:13">
      <c r="A442" s="100" t="str">
        <f>MID(Page012[[#This Row],[Column5]],SEARCH("(",Page012[[#This Row],[Column5]])+1,SEARCH(")",Page012[[#This Row],[Column5]])-SEARCH("(",Page012[[#This Row],[Column5]])-1)</f>
        <v>23.83</v>
      </c>
      <c r="B442" s="68" t="s">
        <v>482</v>
      </c>
      <c r="C442" s="68" t="s">
        <v>292</v>
      </c>
      <c r="D442" s="68" t="s">
        <v>292</v>
      </c>
      <c r="E442" s="68" t="s">
        <v>483</v>
      </c>
      <c r="F442" s="68" t="s">
        <v>431</v>
      </c>
      <c r="G442" s="68">
        <v>373.65</v>
      </c>
      <c r="H442" s="100" t="str">
        <f>MID(Page012[[#This Row],[Column4]],SEARCH("(",Page012[[#This Row],[Column4]])+1,SEARCH(")",Page012[[#This Row],[Column4]])-SEARCH("(",Page012[[#This Row],[Column4]])-1)</f>
        <v>660</v>
      </c>
      <c r="I442" s="68">
        <v>660</v>
      </c>
      <c r="J442" s="68">
        <f t="shared" si="25"/>
        <v>0</v>
      </c>
      <c r="K442" s="68">
        <f t="shared" si="24"/>
        <v>0</v>
      </c>
      <c r="L442" s="100">
        <f t="shared" si="26"/>
        <v>-0.42486133646629831</v>
      </c>
      <c r="M442" s="68">
        <f t="shared" si="27"/>
        <v>10</v>
      </c>
    </row>
    <row r="443" spans="1:13">
      <c r="A443" s="100" t="str">
        <f>MID(Page012[[#This Row],[Column5]],SEARCH("(",Page012[[#This Row],[Column5]])+1,SEARCH(")",Page012[[#This Row],[Column5]])-SEARCH("(",Page012[[#This Row],[Column5]])-1)</f>
        <v>25.40</v>
      </c>
      <c r="B443" s="68" t="s">
        <v>482</v>
      </c>
      <c r="C443" s="68" t="s">
        <v>292</v>
      </c>
      <c r="D443" s="68" t="s">
        <v>292</v>
      </c>
      <c r="E443" s="68" t="s">
        <v>483</v>
      </c>
      <c r="F443" s="68" t="s">
        <v>423</v>
      </c>
      <c r="G443" s="68">
        <v>397.54</v>
      </c>
      <c r="H443" s="100" t="str">
        <f>MID(Page012[[#This Row],[Column4]],SEARCH("(",Page012[[#This Row],[Column4]])+1,SEARCH(")",Page012[[#This Row],[Column4]])-SEARCH("(",Page012[[#This Row],[Column4]])-1)</f>
        <v>660</v>
      </c>
      <c r="I443" s="68">
        <v>660</v>
      </c>
      <c r="J443" s="68">
        <f t="shared" si="25"/>
        <v>0</v>
      </c>
      <c r="K443" s="68">
        <f t="shared" si="24"/>
        <v>0</v>
      </c>
      <c r="L443" s="100">
        <f t="shared" si="26"/>
        <v>-0.42486133646629831</v>
      </c>
      <c r="M443" s="68">
        <f t="shared" si="27"/>
        <v>10</v>
      </c>
    </row>
    <row r="444" spans="1:13">
      <c r="A444" s="100" t="str">
        <f>MID(Page012[[#This Row],[Column5]],SEARCH("(",Page012[[#This Row],[Column5]])+1,SEARCH(")",Page012[[#This Row],[Column5]])-SEARCH("(",Page012[[#This Row],[Column5]])-1)</f>
        <v>6.35</v>
      </c>
      <c r="B444" s="68" t="s">
        <v>484</v>
      </c>
      <c r="C444" s="68" t="s">
        <v>292</v>
      </c>
      <c r="D444" s="68" t="s">
        <v>292</v>
      </c>
      <c r="E444" s="68" t="s">
        <v>485</v>
      </c>
      <c r="F444" s="68" t="s">
        <v>348</v>
      </c>
      <c r="G444" s="68">
        <v>110.35</v>
      </c>
      <c r="H444" s="100" t="str">
        <f>MID(Page012[[#This Row],[Column4]],SEARCH("(",Page012[[#This Row],[Column4]])+1,SEARCH(")",Page012[[#This Row],[Column4]])-SEARCH("(",Page012[[#This Row],[Column4]])-1)</f>
        <v>711</v>
      </c>
      <c r="I444" s="68">
        <v>711</v>
      </c>
      <c r="J444" s="68">
        <f t="shared" si="25"/>
        <v>0</v>
      </c>
      <c r="K444" s="68">
        <f t="shared" si="24"/>
        <v>0</v>
      </c>
      <c r="L444" s="100">
        <f t="shared" si="26"/>
        <v>-0.42486133646629831</v>
      </c>
      <c r="M444" s="68">
        <f t="shared" si="27"/>
        <v>10</v>
      </c>
    </row>
    <row r="445" spans="1:13">
      <c r="A445" s="100" t="str">
        <f>MID(Page012[[#This Row],[Column5]],SEARCH("(",Page012[[#This Row],[Column5]])+1,SEARCH(")",Page012[[#This Row],[Column5]])-SEARCH("(",Page012[[#This Row],[Column5]])-1)</f>
        <v>7.14</v>
      </c>
      <c r="B445" s="68" t="s">
        <v>484</v>
      </c>
      <c r="C445" s="68" t="s">
        <v>292</v>
      </c>
      <c r="D445" s="68" t="s">
        <v>292</v>
      </c>
      <c r="E445" s="68" t="s">
        <v>485</v>
      </c>
      <c r="F445" s="68" t="s">
        <v>360</v>
      </c>
      <c r="G445" s="68">
        <v>123.94</v>
      </c>
      <c r="H445" s="100" t="str">
        <f>MID(Page012[[#This Row],[Column4]],SEARCH("(",Page012[[#This Row],[Column4]])+1,SEARCH(")",Page012[[#This Row],[Column4]])-SEARCH("(",Page012[[#This Row],[Column4]])-1)</f>
        <v>711</v>
      </c>
      <c r="I445" s="68">
        <v>711</v>
      </c>
      <c r="J445" s="68">
        <f t="shared" si="25"/>
        <v>0</v>
      </c>
      <c r="K445" s="68">
        <f t="shared" si="24"/>
        <v>0</v>
      </c>
      <c r="L445" s="100">
        <f t="shared" si="26"/>
        <v>-0.42486133646629831</v>
      </c>
      <c r="M445" s="68">
        <f t="shared" si="27"/>
        <v>10</v>
      </c>
    </row>
    <row r="446" spans="1:13">
      <c r="A446" s="100" t="str">
        <f>MID(Page012[[#This Row],[Column5]],SEARCH("(",Page012[[#This Row],[Column5]])+1,SEARCH(")",Page012[[#This Row],[Column5]])-SEARCH("(",Page012[[#This Row],[Column5]])-1)</f>
        <v>7.92</v>
      </c>
      <c r="B446" s="68" t="s">
        <v>484</v>
      </c>
      <c r="C446" s="68" t="s">
        <v>292</v>
      </c>
      <c r="D446" s="68" t="s">
        <v>293</v>
      </c>
      <c r="E446" s="68" t="s">
        <v>485</v>
      </c>
      <c r="F446" s="68" t="s">
        <v>390</v>
      </c>
      <c r="G446" s="68">
        <v>137.35</v>
      </c>
      <c r="H446" s="100" t="str">
        <f>MID(Page012[[#This Row],[Column4]],SEARCH("(",Page012[[#This Row],[Column4]])+1,SEARCH(")",Page012[[#This Row],[Column4]])-SEARCH("(",Page012[[#This Row],[Column4]])-1)</f>
        <v>711</v>
      </c>
      <c r="I446" s="68">
        <v>711</v>
      </c>
      <c r="J446" s="68">
        <f t="shared" si="25"/>
        <v>0</v>
      </c>
      <c r="K446" s="68">
        <f t="shared" si="24"/>
        <v>0</v>
      </c>
      <c r="L446" s="100">
        <f t="shared" si="26"/>
        <v>-0.42486133646629831</v>
      </c>
      <c r="M446" s="68">
        <f t="shared" si="27"/>
        <v>10</v>
      </c>
    </row>
    <row r="447" spans="1:13">
      <c r="A447" s="100" t="str">
        <f>MID(Page012[[#This Row],[Column5]],SEARCH("(",Page012[[#This Row],[Column5]])+1,SEARCH(")",Page012[[#This Row],[Column5]])-SEARCH("(",Page012[[#This Row],[Column5]])-1)</f>
        <v>8.74</v>
      </c>
      <c r="B447" s="68" t="s">
        <v>484</v>
      </c>
      <c r="C447" s="68" t="s">
        <v>292</v>
      </c>
      <c r="D447" s="68" t="s">
        <v>292</v>
      </c>
      <c r="E447" s="68" t="s">
        <v>485</v>
      </c>
      <c r="F447" s="68" t="s">
        <v>367</v>
      </c>
      <c r="G447" s="68">
        <v>151.37</v>
      </c>
      <c r="H447" s="100" t="str">
        <f>MID(Page012[[#This Row],[Column4]],SEARCH("(",Page012[[#This Row],[Column4]])+1,SEARCH(")",Page012[[#This Row],[Column4]])-SEARCH("(",Page012[[#This Row],[Column4]])-1)</f>
        <v>711</v>
      </c>
      <c r="I447" s="68">
        <v>711</v>
      </c>
      <c r="J447" s="68">
        <f t="shared" si="25"/>
        <v>0</v>
      </c>
      <c r="K447" s="68">
        <f t="shared" si="24"/>
        <v>0</v>
      </c>
      <c r="L447" s="100">
        <f t="shared" si="26"/>
        <v>-0.42486133646629831</v>
      </c>
      <c r="M447" s="68">
        <f t="shared" si="27"/>
        <v>10</v>
      </c>
    </row>
    <row r="448" spans="1:13">
      <c r="A448" s="100" t="str">
        <f>MID(Page012[[#This Row],[Column5]],SEARCH("(",Page012[[#This Row],[Column5]])+1,SEARCH(")",Page012[[#This Row],[Column5]])-SEARCH("(",Page012[[#This Row],[Column5]])-1)</f>
        <v>9.53</v>
      </c>
      <c r="B448" s="68" t="s">
        <v>484</v>
      </c>
      <c r="C448" s="68" t="s">
        <v>300</v>
      </c>
      <c r="D448" s="68" t="s">
        <v>292</v>
      </c>
      <c r="E448" s="68" t="s">
        <v>485</v>
      </c>
      <c r="F448" s="68" t="s">
        <v>376</v>
      </c>
      <c r="G448" s="68">
        <v>164.86</v>
      </c>
      <c r="H448" s="100" t="str">
        <f>MID(Page012[[#This Row],[Column4]],SEARCH("(",Page012[[#This Row],[Column4]])+1,SEARCH(")",Page012[[#This Row],[Column4]])-SEARCH("(",Page012[[#This Row],[Column4]])-1)</f>
        <v>711</v>
      </c>
      <c r="I448" s="68">
        <v>711</v>
      </c>
      <c r="J448" s="68">
        <f t="shared" si="25"/>
        <v>0</v>
      </c>
      <c r="K448" s="68">
        <f t="shared" si="24"/>
        <v>0</v>
      </c>
      <c r="L448" s="100">
        <f t="shared" si="26"/>
        <v>-0.42486133646629831</v>
      </c>
      <c r="M448" s="68">
        <f t="shared" si="27"/>
        <v>10</v>
      </c>
    </row>
    <row r="449" spans="1:13">
      <c r="A449" s="100" t="str">
        <f>MID(Page012[[#This Row],[Column5]],SEARCH("(",Page012[[#This Row],[Column5]])+1,SEARCH(")",Page012[[#This Row],[Column5]])-SEARCH("(",Page012[[#This Row],[Column5]])-1)</f>
        <v>10.31</v>
      </c>
      <c r="B449" s="68" t="s">
        <v>484</v>
      </c>
      <c r="C449" s="68" t="s">
        <v>292</v>
      </c>
      <c r="D449" s="68" t="s">
        <v>292</v>
      </c>
      <c r="E449" s="68" t="s">
        <v>485</v>
      </c>
      <c r="F449" s="68" t="s">
        <v>417</v>
      </c>
      <c r="G449" s="68">
        <v>178.16</v>
      </c>
      <c r="H449" s="100" t="str">
        <f>MID(Page012[[#This Row],[Column4]],SEARCH("(",Page012[[#This Row],[Column4]])+1,SEARCH(")",Page012[[#This Row],[Column4]])-SEARCH("(",Page012[[#This Row],[Column4]])-1)</f>
        <v>711</v>
      </c>
      <c r="I449" s="68">
        <v>711</v>
      </c>
      <c r="J449" s="68">
        <f t="shared" si="25"/>
        <v>0</v>
      </c>
      <c r="K449" s="68">
        <f t="shared" si="24"/>
        <v>0</v>
      </c>
      <c r="L449" s="100">
        <f t="shared" si="26"/>
        <v>-0.42486133646629831</v>
      </c>
      <c r="M449" s="68">
        <f t="shared" si="27"/>
        <v>10</v>
      </c>
    </row>
    <row r="450" spans="1:13">
      <c r="A450" s="100" t="str">
        <f>MID(Page012[[#This Row],[Column5]],SEARCH("(",Page012[[#This Row],[Column5]])+1,SEARCH(")",Page012[[#This Row],[Column5]])-SEARCH("(",Page012[[#This Row],[Column5]])-1)</f>
        <v>11.13</v>
      </c>
      <c r="B450" s="68" t="s">
        <v>484</v>
      </c>
      <c r="C450" s="68" t="s">
        <v>292</v>
      </c>
      <c r="D450" s="68" t="s">
        <v>292</v>
      </c>
      <c r="E450" s="68" t="s">
        <v>485</v>
      </c>
      <c r="F450" s="68" t="s">
        <v>381</v>
      </c>
      <c r="G450" s="68">
        <v>192.1</v>
      </c>
      <c r="H450" s="100" t="str">
        <f>MID(Page012[[#This Row],[Column4]],SEARCH("(",Page012[[#This Row],[Column4]])+1,SEARCH(")",Page012[[#This Row],[Column4]])-SEARCH("(",Page012[[#This Row],[Column4]])-1)</f>
        <v>711</v>
      </c>
      <c r="I450" s="68">
        <v>711</v>
      </c>
      <c r="J450" s="68">
        <f t="shared" si="25"/>
        <v>0</v>
      </c>
      <c r="K450" s="68">
        <f t="shared" ref="K450:K513" si="28">IF(IF(I450&gt;=$Q$3,I450,$Q$2+10)&lt;=$Q$2,A450,0)</f>
        <v>0</v>
      </c>
      <c r="L450" s="100">
        <f t="shared" si="26"/>
        <v>-0.42486133646629831</v>
      </c>
      <c r="M450" s="68">
        <f t="shared" si="27"/>
        <v>10</v>
      </c>
    </row>
    <row r="451" spans="1:13">
      <c r="A451" s="100" t="str">
        <f>MID(Page012[[#This Row],[Column5]],SEARCH("(",Page012[[#This Row],[Column5]])+1,SEARCH(")",Page012[[#This Row],[Column5]])-SEARCH("(",Page012[[#This Row],[Column5]])-1)</f>
        <v>11.91</v>
      </c>
      <c r="B451" s="68" t="s">
        <v>484</v>
      </c>
      <c r="C451" s="68" t="s">
        <v>292</v>
      </c>
      <c r="D451" s="68" t="s">
        <v>292</v>
      </c>
      <c r="E451" s="68" t="s">
        <v>485</v>
      </c>
      <c r="F451" s="68" t="s">
        <v>444</v>
      </c>
      <c r="G451" s="68">
        <v>205</v>
      </c>
      <c r="H451" s="100" t="str">
        <f>MID(Page012[[#This Row],[Column4]],SEARCH("(",Page012[[#This Row],[Column4]])+1,SEARCH(")",Page012[[#This Row],[Column4]])-SEARCH("(",Page012[[#This Row],[Column4]])-1)</f>
        <v>711</v>
      </c>
      <c r="I451" s="68">
        <v>711</v>
      </c>
      <c r="J451" s="68">
        <f t="shared" ref="J451:J514" si="29">IF(IF(I451&gt;=$Q$3,I451,$Q$2+10)&lt;=$Q$2,I451,0)</f>
        <v>0</v>
      </c>
      <c r="K451" s="68">
        <f t="shared" si="28"/>
        <v>0</v>
      </c>
      <c r="L451" s="100">
        <f t="shared" ref="L451:L514" si="30">K451-$Q$1</f>
        <v>-0.42486133646629831</v>
      </c>
      <c r="M451" s="68">
        <f t="shared" si="27"/>
        <v>10</v>
      </c>
    </row>
    <row r="452" spans="1:13">
      <c r="A452" s="100" t="str">
        <f>MID(Page012[[#This Row],[Column5]],SEARCH("(",Page012[[#This Row],[Column5]])+1,SEARCH(")",Page012[[#This Row],[Column5]])-SEARCH("(",Page012[[#This Row],[Column5]])-1)</f>
        <v>12.70</v>
      </c>
      <c r="B452" s="68" t="s">
        <v>484</v>
      </c>
      <c r="C452" s="68" t="s">
        <v>303</v>
      </c>
      <c r="D452" s="68" t="s">
        <v>413</v>
      </c>
      <c r="E452" s="68" t="s">
        <v>485</v>
      </c>
      <c r="F452" s="68" t="s">
        <v>399</v>
      </c>
      <c r="G452" s="68">
        <v>218.4</v>
      </c>
      <c r="H452" s="100" t="str">
        <f>MID(Page012[[#This Row],[Column4]],SEARCH("(",Page012[[#This Row],[Column4]])+1,SEARCH(")",Page012[[#This Row],[Column4]])-SEARCH("(",Page012[[#This Row],[Column4]])-1)</f>
        <v>711</v>
      </c>
      <c r="I452" s="68">
        <v>711</v>
      </c>
      <c r="J452" s="68">
        <f t="shared" si="29"/>
        <v>0</v>
      </c>
      <c r="K452" s="68">
        <f t="shared" si="28"/>
        <v>0</v>
      </c>
      <c r="L452" s="100">
        <f t="shared" si="30"/>
        <v>-0.42486133646629831</v>
      </c>
      <c r="M452" s="68">
        <f t="shared" ref="M452:M515" si="31">IF(L452&lt;0,10,L452)</f>
        <v>10</v>
      </c>
    </row>
    <row r="453" spans="1:13">
      <c r="A453" s="100" t="str">
        <f>MID(Page012[[#This Row],[Column5]],SEARCH("(",Page012[[#This Row],[Column5]])+1,SEARCH(")",Page012[[#This Row],[Column5]])-SEARCH("(",Page012[[#This Row],[Column5]])-1)</f>
        <v>14.27</v>
      </c>
      <c r="B453" s="68" t="s">
        <v>484</v>
      </c>
      <c r="C453" s="68" t="s">
        <v>292</v>
      </c>
      <c r="D453" s="68" t="s">
        <v>292</v>
      </c>
      <c r="E453" s="68" t="s">
        <v>485</v>
      </c>
      <c r="F453" s="68" t="s">
        <v>406</v>
      </c>
      <c r="G453" s="68">
        <v>245.19</v>
      </c>
      <c r="H453" s="100" t="str">
        <f>MID(Page012[[#This Row],[Column4]],SEARCH("(",Page012[[#This Row],[Column4]])+1,SEARCH(")",Page012[[#This Row],[Column4]])-SEARCH("(",Page012[[#This Row],[Column4]])-1)</f>
        <v>711</v>
      </c>
      <c r="I453" s="68">
        <v>711</v>
      </c>
      <c r="J453" s="68">
        <f t="shared" si="29"/>
        <v>0</v>
      </c>
      <c r="K453" s="68">
        <f t="shared" si="28"/>
        <v>0</v>
      </c>
      <c r="L453" s="100">
        <f t="shared" si="30"/>
        <v>-0.42486133646629831</v>
      </c>
      <c r="M453" s="68">
        <f t="shared" si="31"/>
        <v>10</v>
      </c>
    </row>
    <row r="454" spans="1:13">
      <c r="A454" s="100" t="str">
        <f>MID(Page012[[#This Row],[Column5]],SEARCH("(",Page012[[#This Row],[Column5]])+1,SEARCH(")",Page012[[#This Row],[Column5]])-SEARCH("(",Page012[[#This Row],[Column5]])-1)</f>
        <v>15.88</v>
      </c>
      <c r="B454" s="68" t="s">
        <v>484</v>
      </c>
      <c r="C454" s="68" t="s">
        <v>292</v>
      </c>
      <c r="D454" s="68" t="s">
        <v>297</v>
      </c>
      <c r="E454" s="68" t="s">
        <v>485</v>
      </c>
      <c r="F454" s="68" t="s">
        <v>400</v>
      </c>
      <c r="G454" s="68">
        <v>272</v>
      </c>
      <c r="H454" s="100" t="str">
        <f>MID(Page012[[#This Row],[Column4]],SEARCH("(",Page012[[#This Row],[Column4]])+1,SEARCH(")",Page012[[#This Row],[Column4]])-SEARCH("(",Page012[[#This Row],[Column4]])-1)</f>
        <v>711</v>
      </c>
      <c r="I454" s="68">
        <v>711</v>
      </c>
      <c r="J454" s="68">
        <f t="shared" si="29"/>
        <v>0</v>
      </c>
      <c r="K454" s="68">
        <f t="shared" si="28"/>
        <v>0</v>
      </c>
      <c r="L454" s="100">
        <f t="shared" si="30"/>
        <v>-0.42486133646629831</v>
      </c>
      <c r="M454" s="68">
        <f t="shared" si="31"/>
        <v>10</v>
      </c>
    </row>
    <row r="455" spans="1:13">
      <c r="A455" s="100" t="str">
        <f>MID(Page012[[#This Row],[Column5]],SEARCH("(",Page012[[#This Row],[Column5]])+1,SEARCH(")",Page012[[#This Row],[Column5]])-SEARCH("(",Page012[[#This Row],[Column5]])-1)</f>
        <v>17.48</v>
      </c>
      <c r="B455" s="68" t="s">
        <v>484</v>
      </c>
      <c r="C455" s="68" t="s">
        <v>292</v>
      </c>
      <c r="D455" s="68" t="s">
        <v>292</v>
      </c>
      <c r="E455" s="68" t="s">
        <v>485</v>
      </c>
      <c r="F455" s="68" t="s">
        <v>438</v>
      </c>
      <c r="G455" s="68">
        <v>298.89999999999998</v>
      </c>
      <c r="H455" s="100" t="str">
        <f>MID(Page012[[#This Row],[Column4]],SEARCH("(",Page012[[#This Row],[Column4]])+1,SEARCH(")",Page012[[#This Row],[Column4]])-SEARCH("(",Page012[[#This Row],[Column4]])-1)</f>
        <v>711</v>
      </c>
      <c r="I455" s="68">
        <v>711</v>
      </c>
      <c r="J455" s="68">
        <f t="shared" si="29"/>
        <v>0</v>
      </c>
      <c r="K455" s="68">
        <f t="shared" si="28"/>
        <v>0</v>
      </c>
      <c r="L455" s="100">
        <f t="shared" si="30"/>
        <v>-0.42486133646629831</v>
      </c>
      <c r="M455" s="68">
        <f t="shared" si="31"/>
        <v>10</v>
      </c>
    </row>
    <row r="456" spans="1:13">
      <c r="A456" s="100" t="str">
        <f>MID(Page012[[#This Row],[Column5]],SEARCH("(",Page012[[#This Row],[Column5]])+1,SEARCH(")",Page012[[#This Row],[Column5]])-SEARCH("(",Page012[[#This Row],[Column5]])-1)</f>
        <v>19.05</v>
      </c>
      <c r="B456" s="68" t="s">
        <v>484</v>
      </c>
      <c r="C456" s="68" t="s">
        <v>292</v>
      </c>
      <c r="D456" s="68" t="s">
        <v>292</v>
      </c>
      <c r="E456" s="68" t="s">
        <v>485</v>
      </c>
      <c r="F456" s="68" t="s">
        <v>401</v>
      </c>
      <c r="G456" s="68">
        <v>325.08</v>
      </c>
      <c r="H456" s="100" t="str">
        <f>MID(Page012[[#This Row],[Column4]],SEARCH("(",Page012[[#This Row],[Column4]])+1,SEARCH(")",Page012[[#This Row],[Column4]])-SEARCH("(",Page012[[#This Row],[Column4]])-1)</f>
        <v>711</v>
      </c>
      <c r="I456" s="68">
        <v>711</v>
      </c>
      <c r="J456" s="68">
        <f t="shared" si="29"/>
        <v>0</v>
      </c>
      <c r="K456" s="68">
        <f t="shared" si="28"/>
        <v>0</v>
      </c>
      <c r="L456" s="100">
        <f t="shared" si="30"/>
        <v>-0.42486133646629831</v>
      </c>
      <c r="M456" s="68">
        <f t="shared" si="31"/>
        <v>10</v>
      </c>
    </row>
    <row r="457" spans="1:13">
      <c r="A457" s="100" t="str">
        <f>MID(Page012[[#This Row],[Column5]],SEARCH("(",Page012[[#This Row],[Column5]])+1,SEARCH(")",Page012[[#This Row],[Column5]])-SEARCH("(",Page012[[#This Row],[Column5]])-1)</f>
        <v>20.62</v>
      </c>
      <c r="B457" s="68" t="s">
        <v>484</v>
      </c>
      <c r="C457" s="68" t="s">
        <v>292</v>
      </c>
      <c r="D457" s="68" t="s">
        <v>292</v>
      </c>
      <c r="E457" s="68" t="s">
        <v>485</v>
      </c>
      <c r="F457" s="68" t="s">
        <v>421</v>
      </c>
      <c r="G457" s="68">
        <v>351.07</v>
      </c>
      <c r="H457" s="100" t="str">
        <f>MID(Page012[[#This Row],[Column4]],SEARCH("(",Page012[[#This Row],[Column4]])+1,SEARCH(")",Page012[[#This Row],[Column4]])-SEARCH("(",Page012[[#This Row],[Column4]])-1)</f>
        <v>711</v>
      </c>
      <c r="I457" s="68">
        <v>711</v>
      </c>
      <c r="J457" s="68">
        <f t="shared" si="29"/>
        <v>0</v>
      </c>
      <c r="K457" s="68">
        <f t="shared" si="28"/>
        <v>0</v>
      </c>
      <c r="L457" s="100">
        <f t="shared" si="30"/>
        <v>-0.42486133646629831</v>
      </c>
      <c r="M457" s="68">
        <f t="shared" si="31"/>
        <v>10</v>
      </c>
    </row>
    <row r="458" spans="1:13">
      <c r="A458" s="100" t="str">
        <f>MID(Page012[[#This Row],[Column5]],SEARCH("(",Page012[[#This Row],[Column5]])+1,SEARCH(")",Page012[[#This Row],[Column5]])-SEARCH("(",Page012[[#This Row],[Column5]])-1)</f>
        <v>22.23</v>
      </c>
      <c r="B458" s="68" t="s">
        <v>484</v>
      </c>
      <c r="C458" s="68" t="s">
        <v>292</v>
      </c>
      <c r="D458" s="68" t="s">
        <v>292</v>
      </c>
      <c r="E458" s="68" t="s">
        <v>485</v>
      </c>
      <c r="F458" s="68" t="s">
        <v>409</v>
      </c>
      <c r="G458" s="68">
        <v>377.6</v>
      </c>
      <c r="H458" s="100" t="str">
        <f>MID(Page012[[#This Row],[Column4]],SEARCH("(",Page012[[#This Row],[Column4]])+1,SEARCH(")",Page012[[#This Row],[Column4]])-SEARCH("(",Page012[[#This Row],[Column4]])-1)</f>
        <v>711</v>
      </c>
      <c r="I458" s="68">
        <v>711</v>
      </c>
      <c r="J458" s="68">
        <f t="shared" si="29"/>
        <v>0</v>
      </c>
      <c r="K458" s="68">
        <f t="shared" si="28"/>
        <v>0</v>
      </c>
      <c r="L458" s="100">
        <f t="shared" si="30"/>
        <v>-0.42486133646629831</v>
      </c>
      <c r="M458" s="68">
        <f t="shared" si="31"/>
        <v>10</v>
      </c>
    </row>
    <row r="459" spans="1:13">
      <c r="A459" s="100" t="str">
        <f>MID(Page012[[#This Row],[Column5]],SEARCH("(",Page012[[#This Row],[Column5]])+1,SEARCH(")",Page012[[#This Row],[Column5]])-SEARCH("(",Page012[[#This Row],[Column5]])-1)</f>
        <v>23.83</v>
      </c>
      <c r="B459" s="68" t="s">
        <v>484</v>
      </c>
      <c r="C459" s="68" t="s">
        <v>292</v>
      </c>
      <c r="D459" s="68" t="s">
        <v>292</v>
      </c>
      <c r="E459" s="68" t="s">
        <v>485</v>
      </c>
      <c r="F459" s="68" t="s">
        <v>431</v>
      </c>
      <c r="G459" s="68">
        <v>4.03</v>
      </c>
      <c r="H459" s="100" t="str">
        <f>MID(Page012[[#This Row],[Column4]],SEARCH("(",Page012[[#This Row],[Column4]])+1,SEARCH(")",Page012[[#This Row],[Column4]])-SEARCH("(",Page012[[#This Row],[Column4]])-1)</f>
        <v>711</v>
      </c>
      <c r="I459" s="68">
        <v>711</v>
      </c>
      <c r="J459" s="68">
        <f t="shared" si="29"/>
        <v>0</v>
      </c>
      <c r="K459" s="68">
        <f t="shared" si="28"/>
        <v>0</v>
      </c>
      <c r="L459" s="100">
        <f t="shared" si="30"/>
        <v>-0.42486133646629831</v>
      </c>
      <c r="M459" s="68">
        <f t="shared" si="31"/>
        <v>10</v>
      </c>
    </row>
    <row r="460" spans="1:13">
      <c r="A460" s="100" t="str">
        <f>MID(Page012[[#This Row],[Column5]],SEARCH("(",Page012[[#This Row],[Column5]])+1,SEARCH(")",Page012[[#This Row],[Column5]])-SEARCH("(",Page012[[#This Row],[Column5]])-1)</f>
        <v>25.40</v>
      </c>
      <c r="B460" s="68" t="s">
        <v>484</v>
      </c>
      <c r="C460" s="68" t="s">
        <v>292</v>
      </c>
      <c r="D460" s="68" t="s">
        <v>292</v>
      </c>
      <c r="E460" s="68" t="s">
        <v>485</v>
      </c>
      <c r="F460" s="68" t="s">
        <v>423</v>
      </c>
      <c r="G460" s="68">
        <v>429.46</v>
      </c>
      <c r="H460" s="100" t="str">
        <f>MID(Page012[[#This Row],[Column4]],SEARCH("(",Page012[[#This Row],[Column4]])+1,SEARCH(")",Page012[[#This Row],[Column4]])-SEARCH("(",Page012[[#This Row],[Column4]])-1)</f>
        <v>711</v>
      </c>
      <c r="I460" s="68">
        <v>711</v>
      </c>
      <c r="J460" s="68">
        <f t="shared" si="29"/>
        <v>0</v>
      </c>
      <c r="K460" s="68">
        <f t="shared" si="28"/>
        <v>0</v>
      </c>
      <c r="L460" s="100">
        <f t="shared" si="30"/>
        <v>-0.42486133646629831</v>
      </c>
      <c r="M460" s="68">
        <f t="shared" si="31"/>
        <v>10</v>
      </c>
    </row>
    <row r="461" spans="1:13">
      <c r="A461" s="100" t="str">
        <f>MID(Page012[[#This Row],[Column5]],SEARCH("(",Page012[[#This Row],[Column5]])+1,SEARCH(")",Page012[[#This Row],[Column5]])-SEARCH("(",Page012[[#This Row],[Column5]])-1)</f>
        <v>6.35</v>
      </c>
      <c r="B461" s="68" t="s">
        <v>486</v>
      </c>
      <c r="C461" s="68" t="s">
        <v>292</v>
      </c>
      <c r="D461" s="68" t="s">
        <v>330</v>
      </c>
      <c r="E461" s="68" t="s">
        <v>487</v>
      </c>
      <c r="F461" s="68" t="s">
        <v>348</v>
      </c>
      <c r="G461" s="68">
        <v>118.34</v>
      </c>
      <c r="H461" s="100" t="str">
        <f>MID(Page012[[#This Row],[Column4]],SEARCH("(",Page012[[#This Row],[Column4]])+1,SEARCH(")",Page012[[#This Row],[Column4]])-SEARCH("(",Page012[[#This Row],[Column4]])-1)</f>
        <v>762</v>
      </c>
      <c r="I461" s="68">
        <v>762</v>
      </c>
      <c r="J461" s="68">
        <f t="shared" si="29"/>
        <v>0</v>
      </c>
      <c r="K461" s="68">
        <f t="shared" si="28"/>
        <v>0</v>
      </c>
      <c r="L461" s="100">
        <f t="shared" si="30"/>
        <v>-0.42486133646629831</v>
      </c>
      <c r="M461" s="68">
        <f t="shared" si="31"/>
        <v>10</v>
      </c>
    </row>
    <row r="462" spans="1:13">
      <c r="A462" s="100" t="str">
        <f>MID(Page012[[#This Row],[Column5]],SEARCH("(",Page012[[#This Row],[Column5]])+1,SEARCH(")",Page012[[#This Row],[Column5]])-SEARCH("(",Page012[[#This Row],[Column5]])-1)</f>
        <v>7.14</v>
      </c>
      <c r="B462" s="68" t="s">
        <v>486</v>
      </c>
      <c r="C462" s="68" t="s">
        <v>292</v>
      </c>
      <c r="D462" s="68" t="s">
        <v>292</v>
      </c>
      <c r="E462" s="68" t="s">
        <v>487</v>
      </c>
      <c r="F462" s="68" t="s">
        <v>360</v>
      </c>
      <c r="G462" s="68">
        <v>132.91999999999999</v>
      </c>
      <c r="H462" s="100" t="str">
        <f>MID(Page012[[#This Row],[Column4]],SEARCH("(",Page012[[#This Row],[Column4]])+1,SEARCH(")",Page012[[#This Row],[Column4]])-SEARCH("(",Page012[[#This Row],[Column4]])-1)</f>
        <v>762</v>
      </c>
      <c r="I462" s="68">
        <v>762</v>
      </c>
      <c r="J462" s="68">
        <f t="shared" si="29"/>
        <v>0</v>
      </c>
      <c r="K462" s="68">
        <f t="shared" si="28"/>
        <v>0</v>
      </c>
      <c r="L462" s="100">
        <f t="shared" si="30"/>
        <v>-0.42486133646629831</v>
      </c>
      <c r="M462" s="68">
        <f t="shared" si="31"/>
        <v>10</v>
      </c>
    </row>
    <row r="463" spans="1:13">
      <c r="A463" s="100" t="str">
        <f>MID(Page012[[#This Row],[Column5]],SEARCH("(",Page012[[#This Row],[Column5]])+1,SEARCH(")",Page012[[#This Row],[Column5]])-SEARCH("(",Page012[[#This Row],[Column5]])-1)</f>
        <v>7.92</v>
      </c>
      <c r="B463" s="68" t="s">
        <v>486</v>
      </c>
      <c r="C463" s="68" t="s">
        <v>292</v>
      </c>
      <c r="D463" s="68" t="s">
        <v>293</v>
      </c>
      <c r="E463" s="68" t="s">
        <v>487</v>
      </c>
      <c r="F463" s="68" t="s">
        <v>390</v>
      </c>
      <c r="G463" s="68">
        <v>147.91999999999999</v>
      </c>
      <c r="H463" s="100" t="str">
        <f>MID(Page012[[#This Row],[Column4]],SEARCH("(",Page012[[#This Row],[Column4]])+1,SEARCH(")",Page012[[#This Row],[Column4]])-SEARCH("(",Page012[[#This Row],[Column4]])-1)</f>
        <v>762</v>
      </c>
      <c r="I463" s="68">
        <v>762</v>
      </c>
      <c r="J463" s="68">
        <f t="shared" si="29"/>
        <v>0</v>
      </c>
      <c r="K463" s="68">
        <f t="shared" si="28"/>
        <v>0</v>
      </c>
      <c r="L463" s="100">
        <f t="shared" si="30"/>
        <v>-0.42486133646629831</v>
      </c>
      <c r="M463" s="68">
        <f t="shared" si="31"/>
        <v>10</v>
      </c>
    </row>
    <row r="464" spans="1:13">
      <c r="A464" s="100" t="str">
        <f>MID(Page012[[#This Row],[Column5]],SEARCH("(",Page012[[#This Row],[Column5]])+1,SEARCH(")",Page012[[#This Row],[Column5]])-SEARCH("(",Page012[[#This Row],[Column5]])-1)</f>
        <v>8.74</v>
      </c>
      <c r="B464" s="68" t="s">
        <v>486</v>
      </c>
      <c r="C464" s="68" t="s">
        <v>292</v>
      </c>
      <c r="D464" s="68" t="s">
        <v>292</v>
      </c>
      <c r="E464" s="68" t="s">
        <v>487</v>
      </c>
      <c r="F464" s="68" t="s">
        <v>367</v>
      </c>
      <c r="G464" s="68">
        <v>162.36000000000001</v>
      </c>
      <c r="H464" s="100" t="str">
        <f>MID(Page012[[#This Row],[Column4]],SEARCH("(",Page012[[#This Row],[Column4]])+1,SEARCH(")",Page012[[#This Row],[Column4]])-SEARCH("(",Page012[[#This Row],[Column4]])-1)</f>
        <v>762</v>
      </c>
      <c r="I464" s="68">
        <v>762</v>
      </c>
      <c r="J464" s="68">
        <f t="shared" si="29"/>
        <v>0</v>
      </c>
      <c r="K464" s="68">
        <f t="shared" si="28"/>
        <v>0</v>
      </c>
      <c r="L464" s="100">
        <f t="shared" si="30"/>
        <v>-0.42486133646629831</v>
      </c>
      <c r="M464" s="68">
        <f t="shared" si="31"/>
        <v>10</v>
      </c>
    </row>
    <row r="465" spans="1:13">
      <c r="A465" s="100" t="str">
        <f>MID(Page012[[#This Row],[Column5]],SEARCH("(",Page012[[#This Row],[Column5]])+1,SEARCH(")",Page012[[#This Row],[Column5]])-SEARCH("(",Page012[[#This Row],[Column5]])-1)</f>
        <v>9.53</v>
      </c>
      <c r="B465" s="68" t="s">
        <v>486</v>
      </c>
      <c r="C465" s="68" t="s">
        <v>300</v>
      </c>
      <c r="D465" s="68" t="s">
        <v>292</v>
      </c>
      <c r="E465" s="68" t="s">
        <v>487</v>
      </c>
      <c r="F465" s="68" t="s">
        <v>376</v>
      </c>
      <c r="G465" s="68">
        <v>176.34</v>
      </c>
      <c r="H465" s="100" t="str">
        <f>MID(Page012[[#This Row],[Column4]],SEARCH("(",Page012[[#This Row],[Column4]])+1,SEARCH(")",Page012[[#This Row],[Column4]])-SEARCH("(",Page012[[#This Row],[Column4]])-1)</f>
        <v>762</v>
      </c>
      <c r="I465" s="68">
        <v>762</v>
      </c>
      <c r="J465" s="68">
        <f t="shared" si="29"/>
        <v>0</v>
      </c>
      <c r="K465" s="68">
        <f t="shared" si="28"/>
        <v>0</v>
      </c>
      <c r="L465" s="100">
        <f t="shared" si="30"/>
        <v>-0.42486133646629831</v>
      </c>
      <c r="M465" s="68">
        <f t="shared" si="31"/>
        <v>10</v>
      </c>
    </row>
    <row r="466" spans="1:13">
      <c r="A466" s="100" t="str">
        <f>MID(Page012[[#This Row],[Column5]],SEARCH("(",Page012[[#This Row],[Column5]])+1,SEARCH(")",Page012[[#This Row],[Column5]])-SEARCH("(",Page012[[#This Row],[Column5]])-1)</f>
        <v>10.31</v>
      </c>
      <c r="B466" s="68" t="s">
        <v>486</v>
      </c>
      <c r="C466" s="68" t="s">
        <v>292</v>
      </c>
      <c r="D466" s="68" t="s">
        <v>292</v>
      </c>
      <c r="E466" s="68" t="s">
        <v>487</v>
      </c>
      <c r="F466" s="68" t="s">
        <v>417</v>
      </c>
      <c r="G466" s="68">
        <v>191.12</v>
      </c>
      <c r="H466" s="100" t="str">
        <f>MID(Page012[[#This Row],[Column4]],SEARCH("(",Page012[[#This Row],[Column4]])+1,SEARCH(")",Page012[[#This Row],[Column4]])-SEARCH("(",Page012[[#This Row],[Column4]])-1)</f>
        <v>762</v>
      </c>
      <c r="I466" s="68">
        <v>762</v>
      </c>
      <c r="J466" s="68">
        <f t="shared" si="29"/>
        <v>0</v>
      </c>
      <c r="K466" s="68">
        <f t="shared" si="28"/>
        <v>0</v>
      </c>
      <c r="L466" s="100">
        <f t="shared" si="30"/>
        <v>-0.42486133646629831</v>
      </c>
      <c r="M466" s="68">
        <f t="shared" si="31"/>
        <v>10</v>
      </c>
    </row>
    <row r="467" spans="1:13">
      <c r="A467" s="100" t="str">
        <f>MID(Page012[[#This Row],[Column5]],SEARCH("(",Page012[[#This Row],[Column5]])+1,SEARCH(")",Page012[[#This Row],[Column5]])-SEARCH("(",Page012[[#This Row],[Column5]])-1)</f>
        <v>11.13</v>
      </c>
      <c r="B467" s="68" t="s">
        <v>486</v>
      </c>
      <c r="C467" s="68" t="s">
        <v>292</v>
      </c>
      <c r="D467" s="68" t="s">
        <v>292</v>
      </c>
      <c r="E467" s="68" t="s">
        <v>487</v>
      </c>
      <c r="F467" s="68" t="s">
        <v>381</v>
      </c>
      <c r="G467" s="68">
        <v>206.1</v>
      </c>
      <c r="H467" s="100" t="str">
        <f>MID(Page012[[#This Row],[Column4]],SEARCH("(",Page012[[#This Row],[Column4]])+1,SEARCH(")",Page012[[#This Row],[Column4]])-SEARCH("(",Page012[[#This Row],[Column4]])-1)</f>
        <v>762</v>
      </c>
      <c r="I467" s="68">
        <v>762</v>
      </c>
      <c r="J467" s="68">
        <f t="shared" si="29"/>
        <v>0</v>
      </c>
      <c r="K467" s="68">
        <f t="shared" si="28"/>
        <v>0</v>
      </c>
      <c r="L467" s="100">
        <f t="shared" si="30"/>
        <v>-0.42486133646629831</v>
      </c>
      <c r="M467" s="68">
        <f t="shared" si="31"/>
        <v>10</v>
      </c>
    </row>
    <row r="468" spans="1:13">
      <c r="A468" s="100" t="str">
        <f>MID(Page012[[#This Row],[Column5]],SEARCH("(",Page012[[#This Row],[Column5]])+1,SEARCH(")",Page012[[#This Row],[Column5]])-SEARCH("(",Page012[[#This Row],[Column5]])-1)</f>
        <v>11.91</v>
      </c>
      <c r="B468" s="68" t="s">
        <v>486</v>
      </c>
      <c r="C468" s="68" t="s">
        <v>292</v>
      </c>
      <c r="D468" s="68" t="s">
        <v>292</v>
      </c>
      <c r="E468" s="68" t="s">
        <v>487</v>
      </c>
      <c r="F468" s="68" t="s">
        <v>444</v>
      </c>
      <c r="G468" s="68">
        <v>220.32</v>
      </c>
      <c r="H468" s="100" t="str">
        <f>MID(Page012[[#This Row],[Column4]],SEARCH("(",Page012[[#This Row],[Column4]])+1,SEARCH(")",Page012[[#This Row],[Column4]])-SEARCH("(",Page012[[#This Row],[Column4]])-1)</f>
        <v>762</v>
      </c>
      <c r="I468" s="68">
        <v>762</v>
      </c>
      <c r="J468" s="68">
        <f t="shared" si="29"/>
        <v>0</v>
      </c>
      <c r="K468" s="68">
        <f t="shared" si="28"/>
        <v>0</v>
      </c>
      <c r="L468" s="100">
        <f t="shared" si="30"/>
        <v>-0.42486133646629831</v>
      </c>
      <c r="M468" s="68">
        <f t="shared" si="31"/>
        <v>10</v>
      </c>
    </row>
    <row r="469" spans="1:13">
      <c r="A469" s="100" t="str">
        <f>MID(Page012[[#This Row],[Column5]],SEARCH("(",Page012[[#This Row],[Column5]])+1,SEARCH(")",Page012[[#This Row],[Column5]])-SEARCH("(",Page012[[#This Row],[Column5]])-1)</f>
        <v>12.70</v>
      </c>
      <c r="B469" s="68" t="s">
        <v>486</v>
      </c>
      <c r="C469" s="68" t="s">
        <v>303</v>
      </c>
      <c r="D469" s="68" t="s">
        <v>413</v>
      </c>
      <c r="E469" s="68" t="s">
        <v>487</v>
      </c>
      <c r="F469" s="68" t="s">
        <v>399</v>
      </c>
      <c r="G469" s="68">
        <v>234.64</v>
      </c>
      <c r="H469" s="100" t="str">
        <f>MID(Page012[[#This Row],[Column4]],SEARCH("(",Page012[[#This Row],[Column4]])+1,SEARCH(")",Page012[[#This Row],[Column4]])-SEARCH("(",Page012[[#This Row],[Column4]])-1)</f>
        <v>762</v>
      </c>
      <c r="I469" s="68">
        <v>762</v>
      </c>
      <c r="J469" s="68">
        <f t="shared" si="29"/>
        <v>0</v>
      </c>
      <c r="K469" s="68">
        <f t="shared" si="28"/>
        <v>0</v>
      </c>
      <c r="L469" s="100">
        <f t="shared" si="30"/>
        <v>-0.42486133646629831</v>
      </c>
      <c r="M469" s="68">
        <f t="shared" si="31"/>
        <v>10</v>
      </c>
    </row>
    <row r="470" spans="1:13">
      <c r="A470" s="100" t="str">
        <f>MID(Page012[[#This Row],[Column5]],SEARCH("(",Page012[[#This Row],[Column5]])+1,SEARCH(")",Page012[[#This Row],[Column5]])-SEARCH("(",Page012[[#This Row],[Column5]])-1)</f>
        <v>14.27</v>
      </c>
      <c r="B470" s="68" t="s">
        <v>486</v>
      </c>
      <c r="C470" s="68" t="s">
        <v>292</v>
      </c>
      <c r="D470" s="68" t="s">
        <v>292</v>
      </c>
      <c r="E470" s="68" t="s">
        <v>487</v>
      </c>
      <c r="F470" s="68" t="s">
        <v>406</v>
      </c>
      <c r="G470" s="68">
        <v>263.14</v>
      </c>
      <c r="H470" s="100" t="str">
        <f>MID(Page012[[#This Row],[Column4]],SEARCH("(",Page012[[#This Row],[Column4]])+1,SEARCH(")",Page012[[#This Row],[Column4]])-SEARCH("(",Page012[[#This Row],[Column4]])-1)</f>
        <v>762</v>
      </c>
      <c r="I470" s="68">
        <v>762</v>
      </c>
      <c r="J470" s="68">
        <f t="shared" si="29"/>
        <v>0</v>
      </c>
      <c r="K470" s="68">
        <f t="shared" si="28"/>
        <v>0</v>
      </c>
      <c r="L470" s="100">
        <f t="shared" si="30"/>
        <v>-0.42486133646629831</v>
      </c>
      <c r="M470" s="68">
        <f t="shared" si="31"/>
        <v>10</v>
      </c>
    </row>
    <row r="471" spans="1:13">
      <c r="A471" s="100" t="str">
        <f>MID(Page012[[#This Row],[Column5]],SEARCH("(",Page012[[#This Row],[Column5]])+1,SEARCH(")",Page012[[#This Row],[Column5]])-SEARCH("(",Page012[[#This Row],[Column5]])-1)</f>
        <v>15.88</v>
      </c>
      <c r="B471" s="68" t="s">
        <v>486</v>
      </c>
      <c r="C471" s="68" t="s">
        <v>292</v>
      </c>
      <c r="D471" s="68" t="s">
        <v>297</v>
      </c>
      <c r="E471" s="68" t="s">
        <v>487</v>
      </c>
      <c r="F471" s="68" t="s">
        <v>400</v>
      </c>
      <c r="G471" s="68">
        <v>292.2</v>
      </c>
      <c r="H471" s="100" t="str">
        <f>MID(Page012[[#This Row],[Column4]],SEARCH("(",Page012[[#This Row],[Column4]])+1,SEARCH(")",Page012[[#This Row],[Column4]])-SEARCH("(",Page012[[#This Row],[Column4]])-1)</f>
        <v>762</v>
      </c>
      <c r="I471" s="68">
        <v>762</v>
      </c>
      <c r="J471" s="68">
        <f t="shared" si="29"/>
        <v>0</v>
      </c>
      <c r="K471" s="68">
        <f t="shared" si="28"/>
        <v>0</v>
      </c>
      <c r="L471" s="100">
        <f t="shared" si="30"/>
        <v>-0.42486133646629831</v>
      </c>
      <c r="M471" s="68">
        <f t="shared" si="31"/>
        <v>10</v>
      </c>
    </row>
    <row r="472" spans="1:13">
      <c r="A472" s="100" t="str">
        <f>MID(Page012[[#This Row],[Column5]],SEARCH("(",Page012[[#This Row],[Column5]])+1,SEARCH(")",Page012[[#This Row],[Column5]])-SEARCH("(",Page012[[#This Row],[Column5]])-1)</f>
        <v>17.48</v>
      </c>
      <c r="B472" s="68" t="s">
        <v>486</v>
      </c>
      <c r="C472" s="68" t="s">
        <v>292</v>
      </c>
      <c r="D472" s="68" t="s">
        <v>292</v>
      </c>
      <c r="E472" s="68" t="s">
        <v>487</v>
      </c>
      <c r="F472" s="68" t="s">
        <v>438</v>
      </c>
      <c r="G472" s="68">
        <v>320.95</v>
      </c>
      <c r="H472" s="100" t="str">
        <f>MID(Page012[[#This Row],[Column4]],SEARCH("(",Page012[[#This Row],[Column4]])+1,SEARCH(")",Page012[[#This Row],[Column4]])-SEARCH("(",Page012[[#This Row],[Column4]])-1)</f>
        <v>762</v>
      </c>
      <c r="I472" s="68">
        <v>762</v>
      </c>
      <c r="J472" s="68">
        <f t="shared" si="29"/>
        <v>0</v>
      </c>
      <c r="K472" s="68">
        <f t="shared" si="28"/>
        <v>0</v>
      </c>
      <c r="L472" s="100">
        <f t="shared" si="30"/>
        <v>-0.42486133646629831</v>
      </c>
      <c r="M472" s="68">
        <f t="shared" si="31"/>
        <v>10</v>
      </c>
    </row>
    <row r="473" spans="1:13">
      <c r="A473" s="100" t="str">
        <f>MID(Page012[[#This Row],[Column5]],SEARCH("(",Page012[[#This Row],[Column5]])+1,SEARCH(")",Page012[[#This Row],[Column5]])-SEARCH("(",Page012[[#This Row],[Column5]])-1)</f>
        <v>19.05</v>
      </c>
      <c r="B473" s="68" t="s">
        <v>486</v>
      </c>
      <c r="C473" s="68" t="s">
        <v>292</v>
      </c>
      <c r="D473" s="68" t="s">
        <v>292</v>
      </c>
      <c r="E473" s="68" t="s">
        <v>487</v>
      </c>
      <c r="F473" s="68" t="s">
        <v>401</v>
      </c>
      <c r="G473" s="68">
        <v>349.04</v>
      </c>
      <c r="H473" s="100" t="str">
        <f>MID(Page012[[#This Row],[Column4]],SEARCH("(",Page012[[#This Row],[Column4]])+1,SEARCH(")",Page012[[#This Row],[Column4]])-SEARCH("(",Page012[[#This Row],[Column4]])-1)</f>
        <v>762</v>
      </c>
      <c r="I473" s="68">
        <v>762</v>
      </c>
      <c r="J473" s="68">
        <f t="shared" si="29"/>
        <v>0</v>
      </c>
      <c r="K473" s="68">
        <f t="shared" si="28"/>
        <v>0</v>
      </c>
      <c r="L473" s="100">
        <f t="shared" si="30"/>
        <v>-0.42486133646629831</v>
      </c>
      <c r="M473" s="68">
        <f t="shared" si="31"/>
        <v>10</v>
      </c>
    </row>
    <row r="474" spans="1:13">
      <c r="A474" s="100" t="str">
        <f>MID(Page012[[#This Row],[Column5]],SEARCH("(",Page012[[#This Row],[Column5]])+1,SEARCH(")",Page012[[#This Row],[Column5]])-SEARCH("(",Page012[[#This Row],[Column5]])-1)</f>
        <v>20.62</v>
      </c>
      <c r="B474" s="68" t="s">
        <v>486</v>
      </c>
      <c r="C474" s="68" t="s">
        <v>292</v>
      </c>
      <c r="D474" s="68" t="s">
        <v>292</v>
      </c>
      <c r="E474" s="68" t="s">
        <v>487</v>
      </c>
      <c r="F474" s="68" t="s">
        <v>421</v>
      </c>
      <c r="G474" s="68">
        <v>377.01</v>
      </c>
      <c r="H474" s="100" t="str">
        <f>MID(Page012[[#This Row],[Column4]],SEARCH("(",Page012[[#This Row],[Column4]])+1,SEARCH(")",Page012[[#This Row],[Column4]])-SEARCH("(",Page012[[#This Row],[Column4]])-1)</f>
        <v>762</v>
      </c>
      <c r="I474" s="68">
        <v>762</v>
      </c>
      <c r="J474" s="68">
        <f t="shared" si="29"/>
        <v>0</v>
      </c>
      <c r="K474" s="68">
        <f t="shared" si="28"/>
        <v>0</v>
      </c>
      <c r="L474" s="100">
        <f t="shared" si="30"/>
        <v>-0.42486133646629831</v>
      </c>
      <c r="M474" s="68">
        <f t="shared" si="31"/>
        <v>10</v>
      </c>
    </row>
    <row r="475" spans="1:13">
      <c r="A475" s="100" t="str">
        <f>MID(Page012[[#This Row],[Column5]],SEARCH("(",Page012[[#This Row],[Column5]])+1,SEARCH(")",Page012[[#This Row],[Column5]])-SEARCH("(",Page012[[#This Row],[Column5]])-1)</f>
        <v>22.23</v>
      </c>
      <c r="B475" s="68" t="s">
        <v>486</v>
      </c>
      <c r="C475" s="68" t="s">
        <v>292</v>
      </c>
      <c r="D475" s="68" t="s">
        <v>292</v>
      </c>
      <c r="E475" s="68" t="s">
        <v>487</v>
      </c>
      <c r="F475" s="68" t="s">
        <v>409</v>
      </c>
      <c r="G475" s="68">
        <v>405.51</v>
      </c>
      <c r="H475" s="100" t="str">
        <f>MID(Page012[[#This Row],[Column4]],SEARCH("(",Page012[[#This Row],[Column4]])+1,SEARCH(")",Page012[[#This Row],[Column4]])-SEARCH("(",Page012[[#This Row],[Column4]])-1)</f>
        <v>762</v>
      </c>
      <c r="I475" s="68">
        <v>762</v>
      </c>
      <c r="J475" s="68">
        <f t="shared" si="29"/>
        <v>0</v>
      </c>
      <c r="K475" s="68">
        <f t="shared" si="28"/>
        <v>0</v>
      </c>
      <c r="L475" s="100">
        <f t="shared" si="30"/>
        <v>-0.42486133646629831</v>
      </c>
      <c r="M475" s="68">
        <f t="shared" si="31"/>
        <v>10</v>
      </c>
    </row>
    <row r="476" spans="1:13">
      <c r="A476" s="100" t="str">
        <f>MID(Page012[[#This Row],[Column5]],SEARCH("(",Page012[[#This Row],[Column5]])+1,SEARCH(")",Page012[[#This Row],[Column5]])-SEARCH("(",Page012[[#This Row],[Column5]])-1)</f>
        <v>23.83</v>
      </c>
      <c r="B476" s="68" t="s">
        <v>486</v>
      </c>
      <c r="C476" s="68" t="s">
        <v>292</v>
      </c>
      <c r="D476" s="68" t="s">
        <v>292</v>
      </c>
      <c r="E476" s="68" t="s">
        <v>487</v>
      </c>
      <c r="F476" s="68" t="s">
        <v>431</v>
      </c>
      <c r="G476" s="68">
        <v>433.9</v>
      </c>
      <c r="H476" s="100" t="str">
        <f>MID(Page012[[#This Row],[Column4]],SEARCH("(",Page012[[#This Row],[Column4]])+1,SEARCH(")",Page012[[#This Row],[Column4]])-SEARCH("(",Page012[[#This Row],[Column4]])-1)</f>
        <v>762</v>
      </c>
      <c r="I476" s="68">
        <v>762</v>
      </c>
      <c r="J476" s="68">
        <f t="shared" si="29"/>
        <v>0</v>
      </c>
      <c r="K476" s="68">
        <f t="shared" si="28"/>
        <v>0</v>
      </c>
      <c r="L476" s="100">
        <f t="shared" si="30"/>
        <v>-0.42486133646629831</v>
      </c>
      <c r="M476" s="68">
        <f t="shared" si="31"/>
        <v>10</v>
      </c>
    </row>
    <row r="477" spans="1:13">
      <c r="A477" s="100" t="str">
        <f>MID(Page012[[#This Row],[Column5]],SEARCH("(",Page012[[#This Row],[Column5]])+1,SEARCH(")",Page012[[#This Row],[Column5]])-SEARCH("(",Page012[[#This Row],[Column5]])-1)</f>
        <v>25.40</v>
      </c>
      <c r="B477" s="68" t="s">
        <v>486</v>
      </c>
      <c r="C477" s="68" t="s">
        <v>292</v>
      </c>
      <c r="D477" s="68" t="s">
        <v>292</v>
      </c>
      <c r="E477" s="68" t="s">
        <v>487</v>
      </c>
      <c r="F477" s="68" t="s">
        <v>423</v>
      </c>
      <c r="G477" s="68">
        <v>461.44</v>
      </c>
      <c r="H477" s="100" t="str">
        <f>MID(Page012[[#This Row],[Column4]],SEARCH("(",Page012[[#This Row],[Column4]])+1,SEARCH(")",Page012[[#This Row],[Column4]])-SEARCH("(",Page012[[#This Row],[Column4]])-1)</f>
        <v>762</v>
      </c>
      <c r="I477" s="68">
        <v>762</v>
      </c>
      <c r="J477" s="68">
        <f t="shared" si="29"/>
        <v>0</v>
      </c>
      <c r="K477" s="68">
        <f t="shared" si="28"/>
        <v>0</v>
      </c>
      <c r="L477" s="100">
        <f t="shared" si="30"/>
        <v>-0.42486133646629831</v>
      </c>
      <c r="M477" s="68">
        <f t="shared" si="31"/>
        <v>10</v>
      </c>
    </row>
    <row r="478" spans="1:13">
      <c r="A478" s="100" t="str">
        <f>MID(Page012[[#This Row],[Column5]],SEARCH("(",Page012[[#This Row],[Column5]])+1,SEARCH(")",Page012[[#This Row],[Column5]])-SEARCH("(",Page012[[#This Row],[Column5]])-1)</f>
        <v>26.97</v>
      </c>
      <c r="B478" s="68" t="s">
        <v>486</v>
      </c>
      <c r="C478" s="68" t="s">
        <v>292</v>
      </c>
      <c r="D478" s="68" t="s">
        <v>292</v>
      </c>
      <c r="E478" s="68" t="s">
        <v>487</v>
      </c>
      <c r="F478" s="68" t="s">
        <v>439</v>
      </c>
      <c r="G478" s="68">
        <v>488.5</v>
      </c>
      <c r="H478" s="100" t="str">
        <f>MID(Page012[[#This Row],[Column4]],SEARCH("(",Page012[[#This Row],[Column4]])+1,SEARCH(")",Page012[[#This Row],[Column4]])-SEARCH("(",Page012[[#This Row],[Column4]])-1)</f>
        <v>762</v>
      </c>
      <c r="I478" s="68">
        <v>762</v>
      </c>
      <c r="J478" s="68">
        <f t="shared" si="29"/>
        <v>0</v>
      </c>
      <c r="K478" s="68">
        <f t="shared" si="28"/>
        <v>0</v>
      </c>
      <c r="L478" s="100">
        <f t="shared" si="30"/>
        <v>-0.42486133646629831</v>
      </c>
      <c r="M478" s="68">
        <f t="shared" si="31"/>
        <v>10</v>
      </c>
    </row>
    <row r="479" spans="1:13">
      <c r="A479" s="100" t="str">
        <f>MID(Page012[[#This Row],[Column5]],SEARCH("(",Page012[[#This Row],[Column5]])+1,SEARCH(")",Page012[[#This Row],[Column5]])-SEARCH("(",Page012[[#This Row],[Column5]])-1)</f>
        <v>28.58</v>
      </c>
      <c r="B479" s="68" t="s">
        <v>486</v>
      </c>
      <c r="C479" s="68" t="s">
        <v>292</v>
      </c>
      <c r="D479" s="68" t="s">
        <v>292</v>
      </c>
      <c r="E479" s="68" t="s">
        <v>487</v>
      </c>
      <c r="F479" s="68" t="s">
        <v>432</v>
      </c>
      <c r="G479" s="68">
        <v>516.92999999999995</v>
      </c>
      <c r="H479" s="100" t="str">
        <f>MID(Page012[[#This Row],[Column4]],SEARCH("(",Page012[[#This Row],[Column4]])+1,SEARCH(")",Page012[[#This Row],[Column4]])-SEARCH("(",Page012[[#This Row],[Column4]])-1)</f>
        <v>762</v>
      </c>
      <c r="I479" s="68">
        <v>762</v>
      </c>
      <c r="J479" s="68">
        <f t="shared" si="29"/>
        <v>0</v>
      </c>
      <c r="K479" s="68">
        <f t="shared" si="28"/>
        <v>0</v>
      </c>
      <c r="L479" s="100">
        <f t="shared" si="30"/>
        <v>-0.42486133646629831</v>
      </c>
      <c r="M479" s="68">
        <f t="shared" si="31"/>
        <v>10</v>
      </c>
    </row>
    <row r="480" spans="1:13">
      <c r="A480" s="100" t="str">
        <f>MID(Page012[[#This Row],[Column5]],SEARCH("(",Page012[[#This Row],[Column5]])+1,SEARCH(")",Page012[[#This Row],[Column5]])-SEARCH("(",Page012[[#This Row],[Column5]])-1)</f>
        <v>30.18</v>
      </c>
      <c r="B480" s="68" t="s">
        <v>486</v>
      </c>
      <c r="C480" s="68" t="s">
        <v>292</v>
      </c>
      <c r="D480" s="68" t="s">
        <v>292</v>
      </c>
      <c r="E480" s="68" t="s">
        <v>487</v>
      </c>
      <c r="F480" s="68" t="s">
        <v>455</v>
      </c>
      <c r="G480" s="68">
        <v>544.67999999999995</v>
      </c>
      <c r="H480" s="100" t="str">
        <f>MID(Page012[[#This Row],[Column4]],SEARCH("(",Page012[[#This Row],[Column4]])+1,SEARCH(")",Page012[[#This Row],[Column4]])-SEARCH("(",Page012[[#This Row],[Column4]])-1)</f>
        <v>762</v>
      </c>
      <c r="I480" s="68">
        <v>762</v>
      </c>
      <c r="J480" s="68">
        <f t="shared" si="29"/>
        <v>0</v>
      </c>
      <c r="K480" s="68">
        <f t="shared" si="28"/>
        <v>0</v>
      </c>
      <c r="L480" s="100">
        <f t="shared" si="30"/>
        <v>-0.42486133646629831</v>
      </c>
      <c r="M480" s="68">
        <f t="shared" si="31"/>
        <v>10</v>
      </c>
    </row>
    <row r="481" spans="1:13">
      <c r="A481" s="100" t="str">
        <f>MID(Page012[[#This Row],[Column5]],SEARCH("(",Page012[[#This Row],[Column5]])+1,SEARCH(")",Page012[[#This Row],[Column5]])-SEARCH("(",Page012[[#This Row],[Column5]])-1)</f>
        <v>31.75</v>
      </c>
      <c r="B481" s="68" t="s">
        <v>486</v>
      </c>
      <c r="C481" s="68" t="s">
        <v>292</v>
      </c>
      <c r="D481" s="68" t="s">
        <v>292</v>
      </c>
      <c r="E481" s="68" t="s">
        <v>487</v>
      </c>
      <c r="F481" s="68" t="s">
        <v>433</v>
      </c>
      <c r="G481" s="68">
        <v>571.89</v>
      </c>
      <c r="H481" s="100" t="str">
        <f>MID(Page012[[#This Row],[Column4]],SEARCH("(",Page012[[#This Row],[Column4]])+1,SEARCH(")",Page012[[#This Row],[Column4]])-SEARCH("(",Page012[[#This Row],[Column4]])-1)</f>
        <v>762</v>
      </c>
      <c r="I481" s="68">
        <v>762</v>
      </c>
      <c r="J481" s="68">
        <f t="shared" si="29"/>
        <v>0</v>
      </c>
      <c r="K481" s="68">
        <f t="shared" si="28"/>
        <v>0</v>
      </c>
      <c r="L481" s="100">
        <f t="shared" si="30"/>
        <v>-0.42486133646629831</v>
      </c>
      <c r="M481" s="68">
        <f t="shared" si="31"/>
        <v>10</v>
      </c>
    </row>
    <row r="482" spans="1:13">
      <c r="A482" s="100" t="str">
        <f>MID(Page012[[#This Row],[Column5]],SEARCH("(",Page012[[#This Row],[Column5]])+1,SEARCH(")",Page012[[#This Row],[Column5]])-SEARCH("(",Page012[[#This Row],[Column5]])-1)</f>
        <v>6.35</v>
      </c>
      <c r="B482" s="68" t="s">
        <v>488</v>
      </c>
      <c r="C482" s="68" t="s">
        <v>292</v>
      </c>
      <c r="D482" s="68" t="s">
        <v>292</v>
      </c>
      <c r="E482" s="68" t="s">
        <v>489</v>
      </c>
      <c r="F482" s="68" t="s">
        <v>348</v>
      </c>
      <c r="G482" s="68">
        <v>126.32</v>
      </c>
      <c r="H482" s="100" t="str">
        <f>MID(Page012[[#This Row],[Column4]],SEARCH("(",Page012[[#This Row],[Column4]])+1,SEARCH(")",Page012[[#This Row],[Column4]])-SEARCH("(",Page012[[#This Row],[Column4]])-1)</f>
        <v>813</v>
      </c>
      <c r="I482" s="68">
        <v>813</v>
      </c>
      <c r="J482" s="68">
        <f t="shared" si="29"/>
        <v>0</v>
      </c>
      <c r="K482" s="68">
        <f t="shared" si="28"/>
        <v>0</v>
      </c>
      <c r="L482" s="100">
        <f t="shared" si="30"/>
        <v>-0.42486133646629831</v>
      </c>
      <c r="M482" s="68">
        <f t="shared" si="31"/>
        <v>10</v>
      </c>
    </row>
    <row r="483" spans="1:13">
      <c r="A483" s="100" t="str">
        <f>MID(Page012[[#This Row],[Column5]],SEARCH("(",Page012[[#This Row],[Column5]])+1,SEARCH(")",Page012[[#This Row],[Column5]])-SEARCH("(",Page012[[#This Row],[Column5]])-1)</f>
        <v>7.14</v>
      </c>
      <c r="B483" s="68" t="s">
        <v>488</v>
      </c>
      <c r="C483" s="68" t="s">
        <v>292</v>
      </c>
      <c r="D483" s="68" t="s">
        <v>292</v>
      </c>
      <c r="E483" s="68" t="s">
        <v>489</v>
      </c>
      <c r="F483" s="68" t="s">
        <v>360</v>
      </c>
      <c r="G483" s="68">
        <v>141.9</v>
      </c>
      <c r="H483" s="100" t="str">
        <f>MID(Page012[[#This Row],[Column4]],SEARCH("(",Page012[[#This Row],[Column4]])+1,SEARCH(")",Page012[[#This Row],[Column4]])-SEARCH("(",Page012[[#This Row],[Column4]])-1)</f>
        <v>813</v>
      </c>
      <c r="I483" s="68">
        <v>813</v>
      </c>
      <c r="J483" s="68">
        <f t="shared" si="29"/>
        <v>0</v>
      </c>
      <c r="K483" s="68">
        <f t="shared" si="28"/>
        <v>0</v>
      </c>
      <c r="L483" s="100">
        <f t="shared" si="30"/>
        <v>-0.42486133646629831</v>
      </c>
      <c r="M483" s="68">
        <f t="shared" si="31"/>
        <v>10</v>
      </c>
    </row>
    <row r="484" spans="1:13">
      <c r="A484" s="100" t="str">
        <f>MID(Page012[[#This Row],[Column5]],SEARCH("(",Page012[[#This Row],[Column5]])+1,SEARCH(")",Page012[[#This Row],[Column5]])-SEARCH("(",Page012[[#This Row],[Column5]])-1)</f>
        <v>7.92</v>
      </c>
      <c r="B484" s="68" t="s">
        <v>488</v>
      </c>
      <c r="C484" s="68" t="s">
        <v>292</v>
      </c>
      <c r="D484" s="68" t="s">
        <v>293</v>
      </c>
      <c r="E484" s="68" t="s">
        <v>489</v>
      </c>
      <c r="F484" s="68" t="s">
        <v>390</v>
      </c>
      <c r="G484" s="68">
        <v>157.25</v>
      </c>
      <c r="H484" s="100" t="str">
        <f>MID(Page012[[#This Row],[Column4]],SEARCH("(",Page012[[#This Row],[Column4]])+1,SEARCH(")",Page012[[#This Row],[Column4]])-SEARCH("(",Page012[[#This Row],[Column4]])-1)</f>
        <v>813</v>
      </c>
      <c r="I484" s="68">
        <v>813</v>
      </c>
      <c r="J484" s="68">
        <f t="shared" si="29"/>
        <v>0</v>
      </c>
      <c r="K484" s="68">
        <f t="shared" si="28"/>
        <v>0</v>
      </c>
      <c r="L484" s="100">
        <f t="shared" si="30"/>
        <v>-0.42486133646629831</v>
      </c>
      <c r="M484" s="68">
        <f t="shared" si="31"/>
        <v>10</v>
      </c>
    </row>
    <row r="485" spans="1:13">
      <c r="A485" s="100" t="str">
        <f>MID(Page012[[#This Row],[Column5]],SEARCH("(",Page012[[#This Row],[Column5]])+1,SEARCH(")",Page012[[#This Row],[Column5]])-SEARCH("(",Page012[[#This Row],[Column5]])-1)</f>
        <v>8.74</v>
      </c>
      <c r="B485" s="68" t="s">
        <v>488</v>
      </c>
      <c r="C485" s="68" t="s">
        <v>292</v>
      </c>
      <c r="D485" s="68" t="s">
        <v>292</v>
      </c>
      <c r="E485" s="68" t="s">
        <v>489</v>
      </c>
      <c r="F485" s="68" t="s">
        <v>367</v>
      </c>
      <c r="G485" s="68">
        <v>173.15</v>
      </c>
      <c r="H485" s="100" t="str">
        <f>MID(Page012[[#This Row],[Column4]],SEARCH("(",Page012[[#This Row],[Column4]])+1,SEARCH(")",Page012[[#This Row],[Column4]])-SEARCH("(",Page012[[#This Row],[Column4]])-1)</f>
        <v>813</v>
      </c>
      <c r="I485" s="68">
        <v>813</v>
      </c>
      <c r="J485" s="68">
        <f t="shared" si="29"/>
        <v>0</v>
      </c>
      <c r="K485" s="68">
        <f t="shared" si="28"/>
        <v>0</v>
      </c>
      <c r="L485" s="100">
        <f t="shared" si="30"/>
        <v>-0.42486133646629831</v>
      </c>
      <c r="M485" s="68">
        <f t="shared" si="31"/>
        <v>10</v>
      </c>
    </row>
    <row r="486" spans="1:13">
      <c r="A486" s="100" t="str">
        <f>MID(Page012[[#This Row],[Column5]],SEARCH("(",Page012[[#This Row],[Column5]])+1,SEARCH(")",Page012[[#This Row],[Column5]])-SEARCH("(",Page012[[#This Row],[Column5]])-1)</f>
        <v>9.53</v>
      </c>
      <c r="B486" s="68" t="s">
        <v>488</v>
      </c>
      <c r="C486" s="68" t="s">
        <v>300</v>
      </c>
      <c r="D486" s="68" t="s">
        <v>292</v>
      </c>
      <c r="E486" s="68" t="s">
        <v>489</v>
      </c>
      <c r="F486" s="68" t="s">
        <v>376</v>
      </c>
      <c r="G486" s="68">
        <v>188.83</v>
      </c>
      <c r="H486" s="100" t="str">
        <f>MID(Page012[[#This Row],[Column4]],SEARCH("(",Page012[[#This Row],[Column4]])+1,SEARCH(")",Page012[[#This Row],[Column4]])-SEARCH("(",Page012[[#This Row],[Column4]])-1)</f>
        <v>813</v>
      </c>
      <c r="I486" s="68">
        <v>813</v>
      </c>
      <c r="J486" s="68">
        <f t="shared" si="29"/>
        <v>0</v>
      </c>
      <c r="K486" s="68">
        <f t="shared" si="28"/>
        <v>0</v>
      </c>
      <c r="L486" s="100">
        <f t="shared" si="30"/>
        <v>-0.42486133646629831</v>
      </c>
      <c r="M486" s="68">
        <f t="shared" si="31"/>
        <v>10</v>
      </c>
    </row>
    <row r="487" spans="1:13">
      <c r="A487" s="100" t="str">
        <f>MID(Page012[[#This Row],[Column5]],SEARCH("(",Page012[[#This Row],[Column5]])+1,SEARCH(")",Page012[[#This Row],[Column5]])-SEARCH("(",Page012[[#This Row],[Column5]])-1)</f>
        <v>10.31</v>
      </c>
      <c r="B487" s="68" t="s">
        <v>488</v>
      </c>
      <c r="C487" s="68" t="s">
        <v>292</v>
      </c>
      <c r="D487" s="68" t="s">
        <v>292</v>
      </c>
      <c r="E487" s="68" t="s">
        <v>489</v>
      </c>
      <c r="F487" s="68" t="s">
        <v>417</v>
      </c>
      <c r="G487" s="68">
        <v>204.09</v>
      </c>
      <c r="H487" s="100" t="str">
        <f>MID(Page012[[#This Row],[Column4]],SEARCH("(",Page012[[#This Row],[Column4]])+1,SEARCH(")",Page012[[#This Row],[Column4]])-SEARCH("(",Page012[[#This Row],[Column4]])-1)</f>
        <v>813</v>
      </c>
      <c r="I487" s="68">
        <v>813</v>
      </c>
      <c r="J487" s="68">
        <f t="shared" si="29"/>
        <v>0</v>
      </c>
      <c r="K487" s="68">
        <f t="shared" si="28"/>
        <v>0</v>
      </c>
      <c r="L487" s="100">
        <f t="shared" si="30"/>
        <v>-0.42486133646629831</v>
      </c>
      <c r="M487" s="68">
        <f t="shared" si="31"/>
        <v>10</v>
      </c>
    </row>
    <row r="488" spans="1:13">
      <c r="A488" s="100" t="str">
        <f>MID(Page012[[#This Row],[Column5]],SEARCH("(",Page012[[#This Row],[Column5]])+1,SEARCH(")",Page012[[#This Row],[Column5]])-SEARCH("(",Page012[[#This Row],[Column5]])-1)</f>
        <v>11.13</v>
      </c>
      <c r="B488" s="68" t="s">
        <v>488</v>
      </c>
      <c r="C488" s="68" t="s">
        <v>292</v>
      </c>
      <c r="D488" s="68" t="s">
        <v>292</v>
      </c>
      <c r="E488" s="68" t="s">
        <v>489</v>
      </c>
      <c r="F488" s="68" t="s">
        <v>381</v>
      </c>
      <c r="G488" s="68">
        <v>220.1</v>
      </c>
      <c r="H488" s="100" t="str">
        <f>MID(Page012[[#This Row],[Column4]],SEARCH("(",Page012[[#This Row],[Column4]])+1,SEARCH(")",Page012[[#This Row],[Column4]])-SEARCH("(",Page012[[#This Row],[Column4]])-1)</f>
        <v>813</v>
      </c>
      <c r="I488" s="68">
        <v>813</v>
      </c>
      <c r="J488" s="68">
        <f t="shared" si="29"/>
        <v>0</v>
      </c>
      <c r="K488" s="68">
        <f t="shared" si="28"/>
        <v>0</v>
      </c>
      <c r="L488" s="100">
        <f t="shared" si="30"/>
        <v>-0.42486133646629831</v>
      </c>
      <c r="M488" s="68">
        <f t="shared" si="31"/>
        <v>10</v>
      </c>
    </row>
    <row r="489" spans="1:13">
      <c r="A489" s="100" t="str">
        <f>MID(Page012[[#This Row],[Column5]],SEARCH("(",Page012[[#This Row],[Column5]])+1,SEARCH(")",Page012[[#This Row],[Column5]])-SEARCH("(",Page012[[#This Row],[Column5]])-1)</f>
        <v>11.91</v>
      </c>
      <c r="B489" s="68" t="s">
        <v>488</v>
      </c>
      <c r="C489" s="68" t="s">
        <v>292</v>
      </c>
      <c r="D489" s="68" t="s">
        <v>292</v>
      </c>
      <c r="E489" s="68" t="s">
        <v>489</v>
      </c>
      <c r="F489" s="68" t="s">
        <v>444</v>
      </c>
      <c r="G489" s="68">
        <v>235.29</v>
      </c>
      <c r="H489" s="100" t="str">
        <f>MID(Page012[[#This Row],[Column4]],SEARCH("(",Page012[[#This Row],[Column4]])+1,SEARCH(")",Page012[[#This Row],[Column4]])-SEARCH("(",Page012[[#This Row],[Column4]])-1)</f>
        <v>813</v>
      </c>
      <c r="I489" s="68">
        <v>813</v>
      </c>
      <c r="J489" s="68">
        <f t="shared" si="29"/>
        <v>0</v>
      </c>
      <c r="K489" s="68">
        <f t="shared" si="28"/>
        <v>0</v>
      </c>
      <c r="L489" s="100">
        <f t="shared" si="30"/>
        <v>-0.42486133646629831</v>
      </c>
      <c r="M489" s="68">
        <f t="shared" si="31"/>
        <v>10</v>
      </c>
    </row>
    <row r="490" spans="1:13">
      <c r="A490" s="100" t="str">
        <f>MID(Page012[[#This Row],[Column5]],SEARCH("(",Page012[[#This Row],[Column5]])+1,SEARCH(")",Page012[[#This Row],[Column5]])-SEARCH("(",Page012[[#This Row],[Column5]])-1)</f>
        <v>12.70</v>
      </c>
      <c r="B490" s="68" t="s">
        <v>488</v>
      </c>
      <c r="C490" s="68" t="s">
        <v>303</v>
      </c>
      <c r="D490" s="68" t="s">
        <v>413</v>
      </c>
      <c r="E490" s="68" t="s">
        <v>489</v>
      </c>
      <c r="F490" s="68" t="s">
        <v>399</v>
      </c>
      <c r="G490" s="68">
        <v>250.65</v>
      </c>
      <c r="H490" s="100" t="str">
        <f>MID(Page012[[#This Row],[Column4]],SEARCH("(",Page012[[#This Row],[Column4]])+1,SEARCH(")",Page012[[#This Row],[Column4]])-SEARCH("(",Page012[[#This Row],[Column4]])-1)</f>
        <v>813</v>
      </c>
      <c r="I490" s="68">
        <v>813</v>
      </c>
      <c r="J490" s="68">
        <f t="shared" si="29"/>
        <v>0</v>
      </c>
      <c r="K490" s="68">
        <f t="shared" si="28"/>
        <v>0</v>
      </c>
      <c r="L490" s="100">
        <f t="shared" si="30"/>
        <v>-0.42486133646629831</v>
      </c>
      <c r="M490" s="68">
        <f t="shared" si="31"/>
        <v>10</v>
      </c>
    </row>
    <row r="491" spans="1:13">
      <c r="A491" s="100" t="str">
        <f>MID(Page012[[#This Row],[Column5]],SEARCH("(",Page012[[#This Row],[Column5]])+1,SEARCH(")",Page012[[#This Row],[Column5]])-SEARCH("(",Page012[[#This Row],[Column5]])-1)</f>
        <v>14.27</v>
      </c>
      <c r="B491" s="68" t="s">
        <v>488</v>
      </c>
      <c r="C491" s="68" t="s">
        <v>292</v>
      </c>
      <c r="D491" s="68" t="s">
        <v>292</v>
      </c>
      <c r="E491" s="68" t="s">
        <v>489</v>
      </c>
      <c r="F491" s="68" t="s">
        <v>406</v>
      </c>
      <c r="G491" s="68">
        <v>281.08999999999997</v>
      </c>
      <c r="H491" s="100" t="str">
        <f>MID(Page012[[#This Row],[Column4]],SEARCH("(",Page012[[#This Row],[Column4]])+1,SEARCH(")",Page012[[#This Row],[Column4]])-SEARCH("(",Page012[[#This Row],[Column4]])-1)</f>
        <v>813</v>
      </c>
      <c r="I491" s="68">
        <v>813</v>
      </c>
      <c r="J491" s="68">
        <f t="shared" si="29"/>
        <v>0</v>
      </c>
      <c r="K491" s="68">
        <f t="shared" si="28"/>
        <v>0</v>
      </c>
      <c r="L491" s="100">
        <f t="shared" si="30"/>
        <v>-0.42486133646629831</v>
      </c>
      <c r="M491" s="68">
        <f t="shared" si="31"/>
        <v>10</v>
      </c>
    </row>
    <row r="492" spans="1:13">
      <c r="A492" s="100" t="str">
        <f>MID(Page012[[#This Row],[Column5]],SEARCH("(",Page012[[#This Row],[Column5]])+1,SEARCH(")",Page012[[#This Row],[Column5]])-SEARCH("(",Page012[[#This Row],[Column5]])-1)</f>
        <v>15.88</v>
      </c>
      <c r="B492" s="68" t="s">
        <v>488</v>
      </c>
      <c r="C492" s="68" t="s">
        <v>292</v>
      </c>
      <c r="D492" s="68" t="s">
        <v>297</v>
      </c>
      <c r="E492" s="68" t="s">
        <v>489</v>
      </c>
      <c r="F492" s="68" t="s">
        <v>400</v>
      </c>
      <c r="G492" s="68">
        <v>312.17</v>
      </c>
      <c r="H492" s="100" t="str">
        <f>MID(Page012[[#This Row],[Column4]],SEARCH("(",Page012[[#This Row],[Column4]])+1,SEARCH(")",Page012[[#This Row],[Column4]])-SEARCH("(",Page012[[#This Row],[Column4]])-1)</f>
        <v>813</v>
      </c>
      <c r="I492" s="68">
        <v>813</v>
      </c>
      <c r="J492" s="68">
        <f t="shared" si="29"/>
        <v>0</v>
      </c>
      <c r="K492" s="68">
        <f t="shared" si="28"/>
        <v>0</v>
      </c>
      <c r="L492" s="100">
        <f t="shared" si="30"/>
        <v>-0.42486133646629831</v>
      </c>
      <c r="M492" s="68">
        <f t="shared" si="31"/>
        <v>10</v>
      </c>
    </row>
    <row r="493" spans="1:13">
      <c r="A493" s="100" t="str">
        <f>MID(Page012[[#This Row],[Column5]],SEARCH("(",Page012[[#This Row],[Column5]])+1,SEARCH(")",Page012[[#This Row],[Column5]])-SEARCH("(",Page012[[#This Row],[Column5]])-1)</f>
        <v>17.48</v>
      </c>
      <c r="B493" s="68" t="s">
        <v>488</v>
      </c>
      <c r="C493" s="68" t="s">
        <v>292</v>
      </c>
      <c r="D493" s="68" t="s">
        <v>301</v>
      </c>
      <c r="E493" s="68" t="s">
        <v>489</v>
      </c>
      <c r="F493" s="68" t="s">
        <v>438</v>
      </c>
      <c r="G493" s="68">
        <v>343</v>
      </c>
      <c r="H493" s="100" t="str">
        <f>MID(Page012[[#This Row],[Column4]],SEARCH("(",Page012[[#This Row],[Column4]])+1,SEARCH(")",Page012[[#This Row],[Column4]])-SEARCH("(",Page012[[#This Row],[Column4]])-1)</f>
        <v>813</v>
      </c>
      <c r="I493" s="68">
        <v>813</v>
      </c>
      <c r="J493" s="68">
        <f t="shared" si="29"/>
        <v>0</v>
      </c>
      <c r="K493" s="68">
        <f t="shared" si="28"/>
        <v>0</v>
      </c>
      <c r="L493" s="100">
        <f t="shared" si="30"/>
        <v>-0.42486133646629831</v>
      </c>
      <c r="M493" s="68">
        <f t="shared" si="31"/>
        <v>10</v>
      </c>
    </row>
    <row r="494" spans="1:13">
      <c r="A494" s="100" t="str">
        <f>MID(Page012[[#This Row],[Column5]],SEARCH("(",Page012[[#This Row],[Column5]])+1,SEARCH(")",Page012[[#This Row],[Column5]])-SEARCH("(",Page012[[#This Row],[Column5]])-1)</f>
        <v>19.05</v>
      </c>
      <c r="B494" s="68" t="s">
        <v>488</v>
      </c>
      <c r="C494" s="68" t="s">
        <v>292</v>
      </c>
      <c r="D494" s="68" t="s">
        <v>292</v>
      </c>
      <c r="E494" s="68" t="s">
        <v>489</v>
      </c>
      <c r="F494" s="68" t="s">
        <v>401</v>
      </c>
      <c r="G494" s="68">
        <v>373</v>
      </c>
      <c r="H494" s="100" t="str">
        <f>MID(Page012[[#This Row],[Column4]],SEARCH("(",Page012[[#This Row],[Column4]])+1,SEARCH(")",Page012[[#This Row],[Column4]])-SEARCH("(",Page012[[#This Row],[Column4]])-1)</f>
        <v>813</v>
      </c>
      <c r="I494" s="68">
        <v>813</v>
      </c>
      <c r="J494" s="68">
        <f t="shared" si="29"/>
        <v>0</v>
      </c>
      <c r="K494" s="68">
        <f t="shared" si="28"/>
        <v>0</v>
      </c>
      <c r="L494" s="100">
        <f t="shared" si="30"/>
        <v>-0.42486133646629831</v>
      </c>
      <c r="M494" s="68">
        <f t="shared" si="31"/>
        <v>10</v>
      </c>
    </row>
    <row r="495" spans="1:13">
      <c r="A495" s="100" t="str">
        <f>MID(Page012[[#This Row],[Column5]],SEARCH("(",Page012[[#This Row],[Column5]])+1,SEARCH(")",Page012[[#This Row],[Column5]])-SEARCH("(",Page012[[#This Row],[Column5]])-1)</f>
        <v>20.62</v>
      </c>
      <c r="B495" s="68" t="s">
        <v>488</v>
      </c>
      <c r="C495" s="68" t="s">
        <v>292</v>
      </c>
      <c r="D495" s="68" t="s">
        <v>292</v>
      </c>
      <c r="E495" s="68" t="s">
        <v>489</v>
      </c>
      <c r="F495" s="68" t="s">
        <v>421</v>
      </c>
      <c r="G495" s="68">
        <v>402</v>
      </c>
      <c r="H495" s="100" t="str">
        <f>MID(Page012[[#This Row],[Column4]],SEARCH("(",Page012[[#This Row],[Column4]])+1,SEARCH(")",Page012[[#This Row],[Column4]])-SEARCH("(",Page012[[#This Row],[Column4]])-1)</f>
        <v>813</v>
      </c>
      <c r="I495" s="68">
        <v>813</v>
      </c>
      <c r="J495" s="68">
        <f t="shared" si="29"/>
        <v>0</v>
      </c>
      <c r="K495" s="68">
        <f t="shared" si="28"/>
        <v>0</v>
      </c>
      <c r="L495" s="100">
        <f t="shared" si="30"/>
        <v>-0.42486133646629831</v>
      </c>
      <c r="M495" s="68">
        <f t="shared" si="31"/>
        <v>10</v>
      </c>
    </row>
    <row r="496" spans="1:13">
      <c r="A496" s="100" t="str">
        <f>MID(Page012[[#This Row],[Column5]],SEARCH("(",Page012[[#This Row],[Column5]])+1,SEARCH(")",Page012[[#This Row],[Column5]])-SEARCH("(",Page012[[#This Row],[Column5]])-1)</f>
        <v>22.23</v>
      </c>
      <c r="B496" s="68" t="s">
        <v>488</v>
      </c>
      <c r="C496" s="68" t="s">
        <v>292</v>
      </c>
      <c r="D496" s="68" t="s">
        <v>292</v>
      </c>
      <c r="E496" s="68" t="s">
        <v>489</v>
      </c>
      <c r="F496" s="68" t="s">
        <v>409</v>
      </c>
      <c r="G496" s="68">
        <v>433</v>
      </c>
      <c r="H496" s="100" t="str">
        <f>MID(Page012[[#This Row],[Column4]],SEARCH("(",Page012[[#This Row],[Column4]])+1,SEARCH(")",Page012[[#This Row],[Column4]])-SEARCH("(",Page012[[#This Row],[Column4]])-1)</f>
        <v>813</v>
      </c>
      <c r="I496" s="68">
        <v>813</v>
      </c>
      <c r="J496" s="68">
        <f t="shared" si="29"/>
        <v>0</v>
      </c>
      <c r="K496" s="68">
        <f t="shared" si="28"/>
        <v>0</v>
      </c>
      <c r="L496" s="100">
        <f t="shared" si="30"/>
        <v>-0.42486133646629831</v>
      </c>
      <c r="M496" s="68">
        <f t="shared" si="31"/>
        <v>10</v>
      </c>
    </row>
    <row r="497" spans="1:13">
      <c r="A497" s="100" t="str">
        <f>MID(Page012[[#This Row],[Column5]],SEARCH("(",Page012[[#This Row],[Column5]])+1,SEARCH(")",Page012[[#This Row],[Column5]])-SEARCH("(",Page012[[#This Row],[Column5]])-1)</f>
        <v>23.83</v>
      </c>
      <c r="B497" s="68" t="s">
        <v>488</v>
      </c>
      <c r="C497" s="68" t="s">
        <v>292</v>
      </c>
      <c r="D497" s="68" t="s">
        <v>292</v>
      </c>
      <c r="E497" s="68" t="s">
        <v>489</v>
      </c>
      <c r="F497" s="68" t="s">
        <v>431</v>
      </c>
      <c r="G497" s="68">
        <v>463</v>
      </c>
      <c r="H497" s="100" t="str">
        <f>MID(Page012[[#This Row],[Column4]],SEARCH("(",Page012[[#This Row],[Column4]])+1,SEARCH(")",Page012[[#This Row],[Column4]])-SEARCH("(",Page012[[#This Row],[Column4]])-1)</f>
        <v>813</v>
      </c>
      <c r="I497" s="68">
        <v>813</v>
      </c>
      <c r="J497" s="68">
        <f t="shared" si="29"/>
        <v>0</v>
      </c>
      <c r="K497" s="68">
        <f t="shared" si="28"/>
        <v>0</v>
      </c>
      <c r="L497" s="100">
        <f t="shared" si="30"/>
        <v>-0.42486133646629831</v>
      </c>
      <c r="M497" s="68">
        <f t="shared" si="31"/>
        <v>10</v>
      </c>
    </row>
    <row r="498" spans="1:13">
      <c r="A498" s="100" t="str">
        <f>MID(Page012[[#This Row],[Column5]],SEARCH("(",Page012[[#This Row],[Column5]])+1,SEARCH(")",Page012[[#This Row],[Column5]])-SEARCH("(",Page012[[#This Row],[Column5]])-1)</f>
        <v>25.40</v>
      </c>
      <c r="B498" s="68" t="s">
        <v>488</v>
      </c>
      <c r="C498" s="68" t="s">
        <v>292</v>
      </c>
      <c r="D498" s="68" t="s">
        <v>292</v>
      </c>
      <c r="E498" s="68" t="s">
        <v>489</v>
      </c>
      <c r="F498" s="68" t="s">
        <v>423</v>
      </c>
      <c r="G498" s="68">
        <v>493</v>
      </c>
      <c r="H498" s="100" t="str">
        <f>MID(Page012[[#This Row],[Column4]],SEARCH("(",Page012[[#This Row],[Column4]])+1,SEARCH(")",Page012[[#This Row],[Column4]])-SEARCH("(",Page012[[#This Row],[Column4]])-1)</f>
        <v>813</v>
      </c>
      <c r="I498" s="68">
        <v>813</v>
      </c>
      <c r="J498" s="68">
        <f t="shared" si="29"/>
        <v>0</v>
      </c>
      <c r="K498" s="68">
        <f t="shared" si="28"/>
        <v>0</v>
      </c>
      <c r="L498" s="100">
        <f t="shared" si="30"/>
        <v>-0.42486133646629831</v>
      </c>
      <c r="M498" s="68">
        <f t="shared" si="31"/>
        <v>10</v>
      </c>
    </row>
    <row r="499" spans="1:13">
      <c r="A499" s="100" t="str">
        <f>MID(Page012[[#This Row],[Column5]],SEARCH("(",Page012[[#This Row],[Column5]])+1,SEARCH(")",Page012[[#This Row],[Column5]])-SEARCH("(",Page012[[#This Row],[Column5]])-1)</f>
        <v>26.97</v>
      </c>
      <c r="B499" s="68" t="s">
        <v>488</v>
      </c>
      <c r="C499" s="68" t="s">
        <v>292</v>
      </c>
      <c r="D499" s="68" t="s">
        <v>292</v>
      </c>
      <c r="E499" s="68" t="s">
        <v>489</v>
      </c>
      <c r="F499" s="68" t="s">
        <v>439</v>
      </c>
      <c r="G499" s="68">
        <v>522</v>
      </c>
      <c r="H499" s="100" t="str">
        <f>MID(Page012[[#This Row],[Column4]],SEARCH("(",Page012[[#This Row],[Column4]])+1,SEARCH(")",Page012[[#This Row],[Column4]])-SEARCH("(",Page012[[#This Row],[Column4]])-1)</f>
        <v>813</v>
      </c>
      <c r="I499" s="68">
        <v>813</v>
      </c>
      <c r="J499" s="68">
        <f t="shared" si="29"/>
        <v>0</v>
      </c>
      <c r="K499" s="68">
        <f t="shared" si="28"/>
        <v>0</v>
      </c>
      <c r="L499" s="100">
        <f t="shared" si="30"/>
        <v>-0.42486133646629831</v>
      </c>
      <c r="M499" s="68">
        <f t="shared" si="31"/>
        <v>10</v>
      </c>
    </row>
    <row r="500" spans="1:13">
      <c r="A500" s="100" t="str">
        <f>MID(Page012[[#This Row],[Column5]],SEARCH("(",Page012[[#This Row],[Column5]])+1,SEARCH(")",Page012[[#This Row],[Column5]])-SEARCH("(",Page012[[#This Row],[Column5]])-1)</f>
        <v>28.58</v>
      </c>
      <c r="B500" s="68" t="s">
        <v>488</v>
      </c>
      <c r="C500" s="68" t="s">
        <v>292</v>
      </c>
      <c r="D500" s="68" t="s">
        <v>292</v>
      </c>
      <c r="E500" s="68" t="s">
        <v>489</v>
      </c>
      <c r="F500" s="68" t="s">
        <v>432</v>
      </c>
      <c r="G500" s="68">
        <v>552</v>
      </c>
      <c r="H500" s="100" t="str">
        <f>MID(Page012[[#This Row],[Column4]],SEARCH("(",Page012[[#This Row],[Column4]])+1,SEARCH(")",Page012[[#This Row],[Column4]])-SEARCH("(",Page012[[#This Row],[Column4]])-1)</f>
        <v>813</v>
      </c>
      <c r="I500" s="68">
        <v>813</v>
      </c>
      <c r="J500" s="68">
        <f t="shared" si="29"/>
        <v>0</v>
      </c>
      <c r="K500" s="68">
        <f t="shared" si="28"/>
        <v>0</v>
      </c>
      <c r="L500" s="100">
        <f t="shared" si="30"/>
        <v>-0.42486133646629831</v>
      </c>
      <c r="M500" s="68">
        <f t="shared" si="31"/>
        <v>10</v>
      </c>
    </row>
    <row r="501" spans="1:13">
      <c r="A501" s="100" t="str">
        <f>MID(Page012[[#This Row],[Column5]],SEARCH("(",Page012[[#This Row],[Column5]])+1,SEARCH(")",Page012[[#This Row],[Column5]])-SEARCH("(",Page012[[#This Row],[Column5]])-1)</f>
        <v>30.18</v>
      </c>
      <c r="B501" s="68" t="s">
        <v>488</v>
      </c>
      <c r="C501" s="68" t="s">
        <v>292</v>
      </c>
      <c r="D501" s="68" t="s">
        <v>292</v>
      </c>
      <c r="E501" s="68" t="s">
        <v>489</v>
      </c>
      <c r="F501" s="68" t="s">
        <v>455</v>
      </c>
      <c r="G501" s="68">
        <v>582</v>
      </c>
      <c r="H501" s="100" t="str">
        <f>MID(Page012[[#This Row],[Column4]],SEARCH("(",Page012[[#This Row],[Column4]])+1,SEARCH(")",Page012[[#This Row],[Column4]])-SEARCH("(",Page012[[#This Row],[Column4]])-1)</f>
        <v>813</v>
      </c>
      <c r="I501" s="68">
        <v>813</v>
      </c>
      <c r="J501" s="68">
        <f t="shared" si="29"/>
        <v>0</v>
      </c>
      <c r="K501" s="68">
        <f t="shared" si="28"/>
        <v>0</v>
      </c>
      <c r="L501" s="100">
        <f t="shared" si="30"/>
        <v>-0.42486133646629831</v>
      </c>
      <c r="M501" s="68">
        <f t="shared" si="31"/>
        <v>10</v>
      </c>
    </row>
    <row r="502" spans="1:13">
      <c r="A502" s="100" t="str">
        <f>MID(Page012[[#This Row],[Column5]],SEARCH("(",Page012[[#This Row],[Column5]])+1,SEARCH(")",Page012[[#This Row],[Column5]])-SEARCH("(",Page012[[#This Row],[Column5]])-1)</f>
        <v>31.75</v>
      </c>
      <c r="B502" s="68" t="s">
        <v>488</v>
      </c>
      <c r="C502" s="68" t="s">
        <v>292</v>
      </c>
      <c r="D502" s="68" t="s">
        <v>292</v>
      </c>
      <c r="E502" s="68" t="s">
        <v>489</v>
      </c>
      <c r="F502" s="68" t="s">
        <v>433</v>
      </c>
      <c r="G502" s="68">
        <v>611</v>
      </c>
      <c r="H502" s="100" t="str">
        <f>MID(Page012[[#This Row],[Column4]],SEARCH("(",Page012[[#This Row],[Column4]])+1,SEARCH(")",Page012[[#This Row],[Column4]])-SEARCH("(",Page012[[#This Row],[Column4]])-1)</f>
        <v>813</v>
      </c>
      <c r="I502" s="68">
        <v>813</v>
      </c>
      <c r="J502" s="68">
        <f t="shared" si="29"/>
        <v>0</v>
      </c>
      <c r="K502" s="68">
        <f t="shared" si="28"/>
        <v>0</v>
      </c>
      <c r="L502" s="100">
        <f t="shared" si="30"/>
        <v>-0.42486133646629831</v>
      </c>
      <c r="M502" s="68">
        <f t="shared" si="31"/>
        <v>10</v>
      </c>
    </row>
    <row r="503" spans="1:13">
      <c r="A503" s="100" t="str">
        <f>MID(Page012[[#This Row],[Column5]],SEARCH("(",Page012[[#This Row],[Column5]])+1,SEARCH(")",Page012[[#This Row],[Column5]])-SEARCH("(",Page012[[#This Row],[Column5]])-1)</f>
        <v>6.35</v>
      </c>
      <c r="B503" s="68" t="s">
        <v>490</v>
      </c>
      <c r="C503" s="68" t="s">
        <v>292</v>
      </c>
      <c r="D503" s="68" t="s">
        <v>292</v>
      </c>
      <c r="E503" s="68" t="s">
        <v>491</v>
      </c>
      <c r="F503" s="68" t="s">
        <v>348</v>
      </c>
      <c r="G503" s="68">
        <v>134</v>
      </c>
      <c r="H503" s="100" t="str">
        <f>MID(Page012[[#This Row],[Column4]],SEARCH("(",Page012[[#This Row],[Column4]])+1,SEARCH(")",Page012[[#This Row],[Column4]])-SEARCH("(",Page012[[#This Row],[Column4]])-1)</f>
        <v>864</v>
      </c>
      <c r="I503" s="68">
        <v>864</v>
      </c>
      <c r="J503" s="68">
        <f t="shared" si="29"/>
        <v>0</v>
      </c>
      <c r="K503" s="68">
        <f t="shared" si="28"/>
        <v>0</v>
      </c>
      <c r="L503" s="100">
        <f t="shared" si="30"/>
        <v>-0.42486133646629831</v>
      </c>
      <c r="M503" s="68">
        <f t="shared" si="31"/>
        <v>10</v>
      </c>
    </row>
    <row r="504" spans="1:13">
      <c r="A504" s="100" t="str">
        <f>MID(Page012[[#This Row],[Column5]],SEARCH("(",Page012[[#This Row],[Column5]])+1,SEARCH(")",Page012[[#This Row],[Column5]])-SEARCH("(",Page012[[#This Row],[Column5]])-1)</f>
        <v>7.14</v>
      </c>
      <c r="B504" s="68" t="s">
        <v>490</v>
      </c>
      <c r="C504" s="68" t="s">
        <v>292</v>
      </c>
      <c r="D504" s="68" t="s">
        <v>292</v>
      </c>
      <c r="E504" s="68" t="s">
        <v>491</v>
      </c>
      <c r="F504" s="68" t="s">
        <v>360</v>
      </c>
      <c r="G504" s="68">
        <v>150</v>
      </c>
      <c r="H504" s="100" t="str">
        <f>MID(Page012[[#This Row],[Column4]],SEARCH("(",Page012[[#This Row],[Column4]])+1,SEARCH(")",Page012[[#This Row],[Column4]])-SEARCH("(",Page012[[#This Row],[Column4]])-1)</f>
        <v>864</v>
      </c>
      <c r="I504" s="68">
        <v>864</v>
      </c>
      <c r="J504" s="68">
        <f t="shared" si="29"/>
        <v>0</v>
      </c>
      <c r="K504" s="68">
        <f t="shared" si="28"/>
        <v>0</v>
      </c>
      <c r="L504" s="100">
        <f t="shared" si="30"/>
        <v>-0.42486133646629831</v>
      </c>
      <c r="M504" s="68">
        <f t="shared" si="31"/>
        <v>10</v>
      </c>
    </row>
    <row r="505" spans="1:13">
      <c r="A505" s="100" t="str">
        <f>MID(Page012[[#This Row],[Column5]],SEARCH("(",Page012[[#This Row],[Column5]])+1,SEARCH(")",Page012[[#This Row],[Column5]])-SEARCH("(",Page012[[#This Row],[Column5]])-1)</f>
        <v>7.92</v>
      </c>
      <c r="B505" s="68" t="s">
        <v>490</v>
      </c>
      <c r="C505" s="68" t="s">
        <v>292</v>
      </c>
      <c r="D505" s="68" t="s">
        <v>293</v>
      </c>
      <c r="E505" s="68" t="s">
        <v>491</v>
      </c>
      <c r="F505" s="68" t="s">
        <v>390</v>
      </c>
      <c r="G505" s="68">
        <v>167</v>
      </c>
      <c r="H505" s="100" t="str">
        <f>MID(Page012[[#This Row],[Column4]],SEARCH("(",Page012[[#This Row],[Column4]])+1,SEARCH(")",Page012[[#This Row],[Column4]])-SEARCH("(",Page012[[#This Row],[Column4]])-1)</f>
        <v>864</v>
      </c>
      <c r="I505" s="68">
        <v>864</v>
      </c>
      <c r="J505" s="68">
        <f t="shared" si="29"/>
        <v>0</v>
      </c>
      <c r="K505" s="68">
        <f t="shared" si="28"/>
        <v>0</v>
      </c>
      <c r="L505" s="100">
        <f t="shared" si="30"/>
        <v>-0.42486133646629831</v>
      </c>
      <c r="M505" s="68">
        <f t="shared" si="31"/>
        <v>10</v>
      </c>
    </row>
    <row r="506" spans="1:13">
      <c r="A506" s="100" t="str">
        <f>MID(Page012[[#This Row],[Column5]],SEARCH("(",Page012[[#This Row],[Column5]])+1,SEARCH(")",Page012[[#This Row],[Column5]])-SEARCH("(",Page012[[#This Row],[Column5]])-1)</f>
        <v>8.74</v>
      </c>
      <c r="B506" s="68" t="s">
        <v>490</v>
      </c>
      <c r="C506" s="68" t="s">
        <v>292</v>
      </c>
      <c r="D506" s="68" t="s">
        <v>292</v>
      </c>
      <c r="E506" s="68" t="s">
        <v>491</v>
      </c>
      <c r="F506" s="68" t="s">
        <v>367</v>
      </c>
      <c r="G506" s="68">
        <v>184</v>
      </c>
      <c r="H506" s="100" t="str">
        <f>MID(Page012[[#This Row],[Column4]],SEARCH("(",Page012[[#This Row],[Column4]])+1,SEARCH(")",Page012[[#This Row],[Column4]])-SEARCH("(",Page012[[#This Row],[Column4]])-1)</f>
        <v>864</v>
      </c>
      <c r="I506" s="68">
        <v>864</v>
      </c>
      <c r="J506" s="68">
        <f t="shared" si="29"/>
        <v>0</v>
      </c>
      <c r="K506" s="68">
        <f t="shared" si="28"/>
        <v>0</v>
      </c>
      <c r="L506" s="100">
        <f t="shared" si="30"/>
        <v>-0.42486133646629831</v>
      </c>
      <c r="M506" s="68">
        <f t="shared" si="31"/>
        <v>10</v>
      </c>
    </row>
    <row r="507" spans="1:13">
      <c r="A507" s="100" t="str">
        <f>MID(Page012[[#This Row],[Column5]],SEARCH("(",Page012[[#This Row],[Column5]])+1,SEARCH(")",Page012[[#This Row],[Column5]])-SEARCH("(",Page012[[#This Row],[Column5]])-1)</f>
        <v>9.53</v>
      </c>
      <c r="B507" s="68" t="s">
        <v>490</v>
      </c>
      <c r="C507" s="68" t="s">
        <v>300</v>
      </c>
      <c r="D507" s="68" t="s">
        <v>292</v>
      </c>
      <c r="E507" s="68" t="s">
        <v>491</v>
      </c>
      <c r="F507" s="68" t="s">
        <v>376</v>
      </c>
      <c r="G507" s="68">
        <v>200</v>
      </c>
      <c r="H507" s="100" t="str">
        <f>MID(Page012[[#This Row],[Column4]],SEARCH("(",Page012[[#This Row],[Column4]])+1,SEARCH(")",Page012[[#This Row],[Column4]])-SEARCH("(",Page012[[#This Row],[Column4]])-1)</f>
        <v>864</v>
      </c>
      <c r="I507" s="68">
        <v>864</v>
      </c>
      <c r="J507" s="68">
        <f t="shared" si="29"/>
        <v>0</v>
      </c>
      <c r="K507" s="68">
        <f t="shared" si="28"/>
        <v>0</v>
      </c>
      <c r="L507" s="100">
        <f t="shared" si="30"/>
        <v>-0.42486133646629831</v>
      </c>
      <c r="M507" s="68">
        <f t="shared" si="31"/>
        <v>10</v>
      </c>
    </row>
    <row r="508" spans="1:13">
      <c r="A508" s="100" t="str">
        <f>MID(Page012[[#This Row],[Column5]],SEARCH("(",Page012[[#This Row],[Column5]])+1,SEARCH(")",Page012[[#This Row],[Column5]])-SEARCH("(",Page012[[#This Row],[Column5]])-1)</f>
        <v>10.31</v>
      </c>
      <c r="B508" s="68" t="s">
        <v>490</v>
      </c>
      <c r="C508" s="68" t="s">
        <v>292</v>
      </c>
      <c r="D508" s="68" t="s">
        <v>292</v>
      </c>
      <c r="E508" s="68" t="s">
        <v>491</v>
      </c>
      <c r="F508" s="68" t="s">
        <v>417</v>
      </c>
      <c r="G508" s="68">
        <v>217</v>
      </c>
      <c r="H508" s="100" t="str">
        <f>MID(Page012[[#This Row],[Column4]],SEARCH("(",Page012[[#This Row],[Column4]])+1,SEARCH(")",Page012[[#This Row],[Column4]])-SEARCH("(",Page012[[#This Row],[Column4]])-1)</f>
        <v>864</v>
      </c>
      <c r="I508" s="68">
        <v>864</v>
      </c>
      <c r="J508" s="68">
        <f t="shared" si="29"/>
        <v>0</v>
      </c>
      <c r="K508" s="68">
        <f t="shared" si="28"/>
        <v>0</v>
      </c>
      <c r="L508" s="100">
        <f t="shared" si="30"/>
        <v>-0.42486133646629831</v>
      </c>
      <c r="M508" s="68">
        <f t="shared" si="31"/>
        <v>10</v>
      </c>
    </row>
    <row r="509" spans="1:13">
      <c r="A509" s="100" t="str">
        <f>MID(Page012[[#This Row],[Column5]],SEARCH("(",Page012[[#This Row],[Column5]])+1,SEARCH(")",Page012[[#This Row],[Column5]])-SEARCH("(",Page012[[#This Row],[Column5]])-1)</f>
        <v>11.13</v>
      </c>
      <c r="B509" s="68" t="s">
        <v>490</v>
      </c>
      <c r="C509" s="68" t="s">
        <v>292</v>
      </c>
      <c r="D509" s="68" t="s">
        <v>292</v>
      </c>
      <c r="E509" s="68" t="s">
        <v>491</v>
      </c>
      <c r="F509" s="68" t="s">
        <v>381</v>
      </c>
      <c r="G509" s="68">
        <v>234</v>
      </c>
      <c r="H509" s="100" t="str">
        <f>MID(Page012[[#This Row],[Column4]],SEARCH("(",Page012[[#This Row],[Column4]])+1,SEARCH(")",Page012[[#This Row],[Column4]])-SEARCH("(",Page012[[#This Row],[Column4]])-1)</f>
        <v>864</v>
      </c>
      <c r="I509" s="68">
        <v>864</v>
      </c>
      <c r="J509" s="68">
        <f t="shared" si="29"/>
        <v>0</v>
      </c>
      <c r="K509" s="68">
        <f t="shared" si="28"/>
        <v>0</v>
      </c>
      <c r="L509" s="100">
        <f t="shared" si="30"/>
        <v>-0.42486133646629831</v>
      </c>
      <c r="M509" s="68">
        <f t="shared" si="31"/>
        <v>10</v>
      </c>
    </row>
    <row r="510" spans="1:13">
      <c r="A510" s="100" t="str">
        <f>MID(Page012[[#This Row],[Column5]],SEARCH("(",Page012[[#This Row],[Column5]])+1,SEARCH(")",Page012[[#This Row],[Column5]])-SEARCH("(",Page012[[#This Row],[Column5]])-1)</f>
        <v>11.91</v>
      </c>
      <c r="B510" s="68" t="s">
        <v>490</v>
      </c>
      <c r="C510" s="68" t="s">
        <v>292</v>
      </c>
      <c r="D510" s="68" t="s">
        <v>292</v>
      </c>
      <c r="E510" s="68" t="s">
        <v>491</v>
      </c>
      <c r="F510" s="68" t="s">
        <v>444</v>
      </c>
      <c r="G510" s="68">
        <v>250</v>
      </c>
      <c r="H510" s="100" t="str">
        <f>MID(Page012[[#This Row],[Column4]],SEARCH("(",Page012[[#This Row],[Column4]])+1,SEARCH(")",Page012[[#This Row],[Column4]])-SEARCH("(",Page012[[#This Row],[Column4]])-1)</f>
        <v>864</v>
      </c>
      <c r="I510" s="68">
        <v>864</v>
      </c>
      <c r="J510" s="68">
        <f t="shared" si="29"/>
        <v>0</v>
      </c>
      <c r="K510" s="68">
        <f t="shared" si="28"/>
        <v>0</v>
      </c>
      <c r="L510" s="100">
        <f t="shared" si="30"/>
        <v>-0.42486133646629831</v>
      </c>
      <c r="M510" s="68">
        <f t="shared" si="31"/>
        <v>10</v>
      </c>
    </row>
    <row r="511" spans="1:13">
      <c r="A511" s="100" t="str">
        <f>MID(Page012[[#This Row],[Column5]],SEARCH("(",Page012[[#This Row],[Column5]])+1,SEARCH(")",Page012[[#This Row],[Column5]])-SEARCH("(",Page012[[#This Row],[Column5]])-1)</f>
        <v>12.70</v>
      </c>
      <c r="B511" s="68" t="s">
        <v>490</v>
      </c>
      <c r="C511" s="68" t="s">
        <v>303</v>
      </c>
      <c r="D511" s="68" t="s">
        <v>413</v>
      </c>
      <c r="E511" s="68" t="s">
        <v>491</v>
      </c>
      <c r="F511" s="68" t="s">
        <v>399</v>
      </c>
      <c r="G511" s="68">
        <v>266</v>
      </c>
      <c r="H511" s="100" t="str">
        <f>MID(Page012[[#This Row],[Column4]],SEARCH("(",Page012[[#This Row],[Column4]])+1,SEARCH(")",Page012[[#This Row],[Column4]])-SEARCH("(",Page012[[#This Row],[Column4]])-1)</f>
        <v>864</v>
      </c>
      <c r="I511" s="68">
        <v>864</v>
      </c>
      <c r="J511" s="68">
        <f t="shared" si="29"/>
        <v>0</v>
      </c>
      <c r="K511" s="68">
        <f t="shared" si="28"/>
        <v>0</v>
      </c>
      <c r="L511" s="100">
        <f t="shared" si="30"/>
        <v>-0.42486133646629831</v>
      </c>
      <c r="M511" s="68">
        <f t="shared" si="31"/>
        <v>10</v>
      </c>
    </row>
    <row r="512" spans="1:13">
      <c r="A512" s="100" t="str">
        <f>MID(Page012[[#This Row],[Column5]],SEARCH("(",Page012[[#This Row],[Column5]])+1,SEARCH(")",Page012[[#This Row],[Column5]])-SEARCH("(",Page012[[#This Row],[Column5]])-1)</f>
        <v>14.27</v>
      </c>
      <c r="B512" s="68" t="s">
        <v>490</v>
      </c>
      <c r="C512" s="68" t="s">
        <v>292</v>
      </c>
      <c r="D512" s="68" t="s">
        <v>292</v>
      </c>
      <c r="E512" s="68" t="s">
        <v>491</v>
      </c>
      <c r="F512" s="68" t="s">
        <v>406</v>
      </c>
      <c r="G512" s="68">
        <v>299</v>
      </c>
      <c r="H512" s="100" t="str">
        <f>MID(Page012[[#This Row],[Column4]],SEARCH("(",Page012[[#This Row],[Column4]])+1,SEARCH(")",Page012[[#This Row],[Column4]])-SEARCH("(",Page012[[#This Row],[Column4]])-1)</f>
        <v>864</v>
      </c>
      <c r="I512" s="68">
        <v>864</v>
      </c>
      <c r="J512" s="68">
        <f t="shared" si="29"/>
        <v>0</v>
      </c>
      <c r="K512" s="68">
        <f t="shared" si="28"/>
        <v>0</v>
      </c>
      <c r="L512" s="100">
        <f t="shared" si="30"/>
        <v>-0.42486133646629831</v>
      </c>
      <c r="M512" s="68">
        <f t="shared" si="31"/>
        <v>10</v>
      </c>
    </row>
    <row r="513" spans="1:13">
      <c r="A513" s="100" t="str">
        <f>MID(Page012[[#This Row],[Column5]],SEARCH("(",Page012[[#This Row],[Column5]])+1,SEARCH(")",Page012[[#This Row],[Column5]])-SEARCH("(",Page012[[#This Row],[Column5]])-1)</f>
        <v>15.88</v>
      </c>
      <c r="B513" s="68" t="s">
        <v>490</v>
      </c>
      <c r="C513" s="68" t="s">
        <v>292</v>
      </c>
      <c r="D513" s="68" t="s">
        <v>297</v>
      </c>
      <c r="E513" s="68" t="s">
        <v>491</v>
      </c>
      <c r="F513" s="68" t="s">
        <v>400</v>
      </c>
      <c r="G513" s="68">
        <v>332</v>
      </c>
      <c r="H513" s="100" t="str">
        <f>MID(Page012[[#This Row],[Column4]],SEARCH("(",Page012[[#This Row],[Column4]])+1,SEARCH(")",Page012[[#This Row],[Column4]])-SEARCH("(",Page012[[#This Row],[Column4]])-1)</f>
        <v>864</v>
      </c>
      <c r="I513" s="68">
        <v>864</v>
      </c>
      <c r="J513" s="68">
        <f t="shared" si="29"/>
        <v>0</v>
      </c>
      <c r="K513" s="68">
        <f t="shared" si="28"/>
        <v>0</v>
      </c>
      <c r="L513" s="100">
        <f t="shared" si="30"/>
        <v>-0.42486133646629831</v>
      </c>
      <c r="M513" s="68">
        <f t="shared" si="31"/>
        <v>10</v>
      </c>
    </row>
    <row r="514" spans="1:13">
      <c r="A514" s="100" t="str">
        <f>MID(Page012[[#This Row],[Column5]],SEARCH("(",Page012[[#This Row],[Column5]])+1,SEARCH(")",Page012[[#This Row],[Column5]])-SEARCH("(",Page012[[#This Row],[Column5]])-1)</f>
        <v>17.48</v>
      </c>
      <c r="B514" s="68" t="s">
        <v>490</v>
      </c>
      <c r="C514" s="68" t="s">
        <v>292</v>
      </c>
      <c r="D514" s="68" t="s">
        <v>301</v>
      </c>
      <c r="E514" s="68" t="s">
        <v>491</v>
      </c>
      <c r="F514" s="68" t="s">
        <v>438</v>
      </c>
      <c r="G514" s="68">
        <v>364</v>
      </c>
      <c r="H514" s="100" t="str">
        <f>MID(Page012[[#This Row],[Column4]],SEARCH("(",Page012[[#This Row],[Column4]])+1,SEARCH(")",Page012[[#This Row],[Column4]])-SEARCH("(",Page012[[#This Row],[Column4]])-1)</f>
        <v>864</v>
      </c>
      <c r="I514" s="68">
        <v>864</v>
      </c>
      <c r="J514" s="68">
        <f t="shared" si="29"/>
        <v>0</v>
      </c>
      <c r="K514" s="68">
        <f t="shared" ref="K514:K577" si="32">IF(IF(I514&gt;=$Q$3,I514,$Q$2+10)&lt;=$Q$2,A514,0)</f>
        <v>0</v>
      </c>
      <c r="L514" s="100">
        <f t="shared" si="30"/>
        <v>-0.42486133646629831</v>
      </c>
      <c r="M514" s="68">
        <f t="shared" si="31"/>
        <v>10</v>
      </c>
    </row>
    <row r="515" spans="1:13">
      <c r="A515" s="100" t="str">
        <f>MID(Page012[[#This Row],[Column5]],SEARCH("(",Page012[[#This Row],[Column5]])+1,SEARCH(")",Page012[[#This Row],[Column5]])-SEARCH("(",Page012[[#This Row],[Column5]])-1)</f>
        <v>19.05</v>
      </c>
      <c r="B515" s="68" t="s">
        <v>490</v>
      </c>
      <c r="C515" s="68" t="s">
        <v>292</v>
      </c>
      <c r="D515" s="68" t="s">
        <v>292</v>
      </c>
      <c r="E515" s="68" t="s">
        <v>491</v>
      </c>
      <c r="F515" s="68" t="s">
        <v>401</v>
      </c>
      <c r="G515" s="68">
        <v>396</v>
      </c>
      <c r="H515" s="100" t="str">
        <f>MID(Page012[[#This Row],[Column4]],SEARCH("(",Page012[[#This Row],[Column4]])+1,SEARCH(")",Page012[[#This Row],[Column4]])-SEARCH("(",Page012[[#This Row],[Column4]])-1)</f>
        <v>864</v>
      </c>
      <c r="I515" s="68">
        <v>864</v>
      </c>
      <c r="J515" s="68">
        <f t="shared" ref="J515:J578" si="33">IF(IF(I515&gt;=$Q$3,I515,$Q$2+10)&lt;=$Q$2,I515,0)</f>
        <v>0</v>
      </c>
      <c r="K515" s="68">
        <f t="shared" si="32"/>
        <v>0</v>
      </c>
      <c r="L515" s="100">
        <f t="shared" ref="L515:L578" si="34">K515-$Q$1</f>
        <v>-0.42486133646629831</v>
      </c>
      <c r="M515" s="68">
        <f t="shared" si="31"/>
        <v>10</v>
      </c>
    </row>
    <row r="516" spans="1:13">
      <c r="A516" s="100" t="str">
        <f>MID(Page012[[#This Row],[Column5]],SEARCH("(",Page012[[#This Row],[Column5]])+1,SEARCH(")",Page012[[#This Row],[Column5]])-SEARCH("(",Page012[[#This Row],[Column5]])-1)</f>
        <v>20.62</v>
      </c>
      <c r="B516" s="68" t="s">
        <v>490</v>
      </c>
      <c r="C516" s="68" t="s">
        <v>292</v>
      </c>
      <c r="D516" s="68" t="s">
        <v>292</v>
      </c>
      <c r="E516" s="68" t="s">
        <v>491</v>
      </c>
      <c r="F516" s="68" t="s">
        <v>421</v>
      </c>
      <c r="G516" s="68">
        <v>428</v>
      </c>
      <c r="H516" s="100" t="str">
        <f>MID(Page012[[#This Row],[Column4]],SEARCH("(",Page012[[#This Row],[Column4]])+1,SEARCH(")",Page012[[#This Row],[Column4]])-SEARCH("(",Page012[[#This Row],[Column4]])-1)</f>
        <v>864</v>
      </c>
      <c r="I516" s="68">
        <v>864</v>
      </c>
      <c r="J516" s="68">
        <f t="shared" si="33"/>
        <v>0</v>
      </c>
      <c r="K516" s="68">
        <f t="shared" si="32"/>
        <v>0</v>
      </c>
      <c r="L516" s="100">
        <f t="shared" si="34"/>
        <v>-0.42486133646629831</v>
      </c>
      <c r="M516" s="68">
        <f t="shared" ref="M516:M579" si="35">IF(L516&lt;0,10,L516)</f>
        <v>10</v>
      </c>
    </row>
    <row r="517" spans="1:13">
      <c r="A517" s="100" t="str">
        <f>MID(Page012[[#This Row],[Column5]],SEARCH("(",Page012[[#This Row],[Column5]])+1,SEARCH(")",Page012[[#This Row],[Column5]])-SEARCH("(",Page012[[#This Row],[Column5]])-1)</f>
        <v>22.23</v>
      </c>
      <c r="B517" s="68" t="s">
        <v>490</v>
      </c>
      <c r="C517" s="68" t="s">
        <v>292</v>
      </c>
      <c r="D517" s="68" t="s">
        <v>292</v>
      </c>
      <c r="E517" s="68" t="s">
        <v>491</v>
      </c>
      <c r="F517" s="68" t="s">
        <v>409</v>
      </c>
      <c r="G517" s="68">
        <v>461</v>
      </c>
      <c r="H517" s="100" t="str">
        <f>MID(Page012[[#This Row],[Column4]],SEARCH("(",Page012[[#This Row],[Column4]])+1,SEARCH(")",Page012[[#This Row],[Column4]])-SEARCH("(",Page012[[#This Row],[Column4]])-1)</f>
        <v>864</v>
      </c>
      <c r="I517" s="68">
        <v>864</v>
      </c>
      <c r="J517" s="68">
        <f t="shared" si="33"/>
        <v>0</v>
      </c>
      <c r="K517" s="68">
        <f t="shared" si="32"/>
        <v>0</v>
      </c>
      <c r="L517" s="100">
        <f t="shared" si="34"/>
        <v>-0.42486133646629831</v>
      </c>
      <c r="M517" s="68">
        <f t="shared" si="35"/>
        <v>10</v>
      </c>
    </row>
    <row r="518" spans="1:13">
      <c r="A518" s="100" t="str">
        <f>MID(Page012[[#This Row],[Column5]],SEARCH("(",Page012[[#This Row],[Column5]])+1,SEARCH(")",Page012[[#This Row],[Column5]])-SEARCH("(",Page012[[#This Row],[Column5]])-1)</f>
        <v>23.83</v>
      </c>
      <c r="B518" s="68" t="s">
        <v>490</v>
      </c>
      <c r="C518" s="68" t="s">
        <v>292</v>
      </c>
      <c r="D518" s="68" t="s">
        <v>292</v>
      </c>
      <c r="E518" s="68" t="s">
        <v>491</v>
      </c>
      <c r="F518" s="68" t="s">
        <v>431</v>
      </c>
      <c r="G518" s="68">
        <v>493</v>
      </c>
      <c r="H518" s="100" t="str">
        <f>MID(Page012[[#This Row],[Column4]],SEARCH("(",Page012[[#This Row],[Column4]])+1,SEARCH(")",Page012[[#This Row],[Column4]])-SEARCH("(",Page012[[#This Row],[Column4]])-1)</f>
        <v>864</v>
      </c>
      <c r="I518" s="68">
        <v>864</v>
      </c>
      <c r="J518" s="68">
        <f t="shared" si="33"/>
        <v>0</v>
      </c>
      <c r="K518" s="68">
        <f t="shared" si="32"/>
        <v>0</v>
      </c>
      <c r="L518" s="100">
        <f t="shared" si="34"/>
        <v>-0.42486133646629831</v>
      </c>
      <c r="M518" s="68">
        <f t="shared" si="35"/>
        <v>10</v>
      </c>
    </row>
    <row r="519" spans="1:13">
      <c r="A519" s="100" t="str">
        <f>MID(Page012[[#This Row],[Column5]],SEARCH("(",Page012[[#This Row],[Column5]])+1,SEARCH(")",Page012[[#This Row],[Column5]])-SEARCH("(",Page012[[#This Row],[Column5]])-1)</f>
        <v>25.40</v>
      </c>
      <c r="B519" s="68" t="s">
        <v>490</v>
      </c>
      <c r="C519" s="68" t="s">
        <v>292</v>
      </c>
      <c r="D519" s="68" t="s">
        <v>292</v>
      </c>
      <c r="E519" s="68" t="s">
        <v>491</v>
      </c>
      <c r="F519" s="68" t="s">
        <v>423</v>
      </c>
      <c r="G519" s="68">
        <v>525</v>
      </c>
      <c r="H519" s="100" t="str">
        <f>MID(Page012[[#This Row],[Column4]],SEARCH("(",Page012[[#This Row],[Column4]])+1,SEARCH(")",Page012[[#This Row],[Column4]])-SEARCH("(",Page012[[#This Row],[Column4]])-1)</f>
        <v>864</v>
      </c>
      <c r="I519" s="68">
        <v>864</v>
      </c>
      <c r="J519" s="68">
        <f t="shared" si="33"/>
        <v>0</v>
      </c>
      <c r="K519" s="68">
        <f t="shared" si="32"/>
        <v>0</v>
      </c>
      <c r="L519" s="100">
        <f t="shared" si="34"/>
        <v>-0.42486133646629831</v>
      </c>
      <c r="M519" s="68">
        <f t="shared" si="35"/>
        <v>10</v>
      </c>
    </row>
    <row r="520" spans="1:13">
      <c r="A520" s="100" t="str">
        <f>MID(Page012[[#This Row],[Column5]],SEARCH("(",Page012[[#This Row],[Column5]])+1,SEARCH(")",Page012[[#This Row],[Column5]])-SEARCH("(",Page012[[#This Row],[Column5]])-1)</f>
        <v>26.97</v>
      </c>
      <c r="B520" s="68" t="s">
        <v>490</v>
      </c>
      <c r="C520" s="68" t="s">
        <v>292</v>
      </c>
      <c r="D520" s="68" t="s">
        <v>292</v>
      </c>
      <c r="E520" s="68" t="s">
        <v>491</v>
      </c>
      <c r="F520" s="68" t="s">
        <v>439</v>
      </c>
      <c r="G520" s="68">
        <v>556</v>
      </c>
      <c r="H520" s="100" t="str">
        <f>MID(Page012[[#This Row],[Column4]],SEARCH("(",Page012[[#This Row],[Column4]])+1,SEARCH(")",Page012[[#This Row],[Column4]])-SEARCH("(",Page012[[#This Row],[Column4]])-1)</f>
        <v>864</v>
      </c>
      <c r="I520" s="68">
        <v>864</v>
      </c>
      <c r="J520" s="68">
        <f t="shared" si="33"/>
        <v>0</v>
      </c>
      <c r="K520" s="68">
        <f t="shared" si="32"/>
        <v>0</v>
      </c>
      <c r="L520" s="100">
        <f t="shared" si="34"/>
        <v>-0.42486133646629831</v>
      </c>
      <c r="M520" s="68">
        <f t="shared" si="35"/>
        <v>10</v>
      </c>
    </row>
    <row r="521" spans="1:13">
      <c r="A521" s="100" t="str">
        <f>MID(Page012[[#This Row],[Column5]],SEARCH("(",Page012[[#This Row],[Column5]])+1,SEARCH(")",Page012[[#This Row],[Column5]])-SEARCH("(",Page012[[#This Row],[Column5]])-1)</f>
        <v>28.58</v>
      </c>
      <c r="B521" s="68" t="s">
        <v>490</v>
      </c>
      <c r="C521" s="68" t="s">
        <v>292</v>
      </c>
      <c r="D521" s="68" t="s">
        <v>292</v>
      </c>
      <c r="E521" s="68" t="s">
        <v>491</v>
      </c>
      <c r="F521" s="68" t="s">
        <v>432</v>
      </c>
      <c r="G521" s="68">
        <v>588</v>
      </c>
      <c r="H521" s="100" t="str">
        <f>MID(Page012[[#This Row],[Column4]],SEARCH("(",Page012[[#This Row],[Column4]])+1,SEARCH(")",Page012[[#This Row],[Column4]])-SEARCH("(",Page012[[#This Row],[Column4]])-1)</f>
        <v>864</v>
      </c>
      <c r="I521" s="68">
        <v>864</v>
      </c>
      <c r="J521" s="68">
        <f t="shared" si="33"/>
        <v>0</v>
      </c>
      <c r="K521" s="68">
        <f t="shared" si="32"/>
        <v>0</v>
      </c>
      <c r="L521" s="100">
        <f t="shared" si="34"/>
        <v>-0.42486133646629831</v>
      </c>
      <c r="M521" s="68">
        <f t="shared" si="35"/>
        <v>10</v>
      </c>
    </row>
    <row r="522" spans="1:13">
      <c r="A522" s="100" t="str">
        <f>MID(Page012[[#This Row],[Column5]],SEARCH("(",Page012[[#This Row],[Column5]])+1,SEARCH(")",Page012[[#This Row],[Column5]])-SEARCH("(",Page012[[#This Row],[Column5]])-1)</f>
        <v>30.18</v>
      </c>
      <c r="B522" s="68" t="s">
        <v>490</v>
      </c>
      <c r="C522" s="68" t="s">
        <v>292</v>
      </c>
      <c r="D522" s="68" t="s">
        <v>292</v>
      </c>
      <c r="E522" s="68" t="s">
        <v>491</v>
      </c>
      <c r="F522" s="68" t="s">
        <v>455</v>
      </c>
      <c r="G522" s="68">
        <v>620</v>
      </c>
      <c r="H522" s="100" t="str">
        <f>MID(Page012[[#This Row],[Column4]],SEARCH("(",Page012[[#This Row],[Column4]])+1,SEARCH(")",Page012[[#This Row],[Column4]])-SEARCH("(",Page012[[#This Row],[Column4]])-1)</f>
        <v>864</v>
      </c>
      <c r="I522" s="68">
        <v>864</v>
      </c>
      <c r="J522" s="68">
        <f t="shared" si="33"/>
        <v>0</v>
      </c>
      <c r="K522" s="68">
        <f t="shared" si="32"/>
        <v>0</v>
      </c>
      <c r="L522" s="100">
        <f t="shared" si="34"/>
        <v>-0.42486133646629831</v>
      </c>
      <c r="M522" s="68">
        <f t="shared" si="35"/>
        <v>10</v>
      </c>
    </row>
    <row r="523" spans="1:13">
      <c r="A523" s="100" t="str">
        <f>MID(Page012[[#This Row],[Column5]],SEARCH("(",Page012[[#This Row],[Column5]])+1,SEARCH(")",Page012[[#This Row],[Column5]])-SEARCH("(",Page012[[#This Row],[Column5]])-1)</f>
        <v>31.75</v>
      </c>
      <c r="B523" s="68" t="s">
        <v>490</v>
      </c>
      <c r="C523" s="68" t="s">
        <v>292</v>
      </c>
      <c r="D523" s="68" t="s">
        <v>292</v>
      </c>
      <c r="E523" s="68" t="s">
        <v>491</v>
      </c>
      <c r="F523" s="68" t="s">
        <v>433</v>
      </c>
      <c r="G523" s="68">
        <v>651</v>
      </c>
      <c r="H523" s="100" t="str">
        <f>MID(Page012[[#This Row],[Column4]],SEARCH("(",Page012[[#This Row],[Column4]])+1,SEARCH(")",Page012[[#This Row],[Column4]])-SEARCH("(",Page012[[#This Row],[Column4]])-1)</f>
        <v>864</v>
      </c>
      <c r="I523" s="68">
        <v>864</v>
      </c>
      <c r="J523" s="68">
        <f t="shared" si="33"/>
        <v>0</v>
      </c>
      <c r="K523" s="68">
        <f t="shared" si="32"/>
        <v>0</v>
      </c>
      <c r="L523" s="100">
        <f t="shared" si="34"/>
        <v>-0.42486133646629831</v>
      </c>
      <c r="M523" s="68">
        <f t="shared" si="35"/>
        <v>10</v>
      </c>
    </row>
    <row r="524" spans="1:13">
      <c r="A524" s="100" t="str">
        <f>MID(Page012[[#This Row],[Column5]],SEARCH("(",Page012[[#This Row],[Column5]])+1,SEARCH(")",Page012[[#This Row],[Column5]])-SEARCH("(",Page012[[#This Row],[Column5]])-1)</f>
        <v>6.35</v>
      </c>
      <c r="B524" s="68" t="s">
        <v>492</v>
      </c>
      <c r="C524" s="68" t="s">
        <v>292</v>
      </c>
      <c r="D524" s="68" t="s">
        <v>292</v>
      </c>
      <c r="E524" s="68" t="s">
        <v>493</v>
      </c>
      <c r="F524" s="68" t="s">
        <v>348</v>
      </c>
      <c r="G524" s="68">
        <v>142</v>
      </c>
      <c r="H524" s="100" t="str">
        <f>MID(Page012[[#This Row],[Column4]],SEARCH("(",Page012[[#This Row],[Column4]])+1,SEARCH(")",Page012[[#This Row],[Column4]])-SEARCH("(",Page012[[#This Row],[Column4]])-1)</f>
        <v>914</v>
      </c>
      <c r="I524" s="68">
        <v>914</v>
      </c>
      <c r="J524" s="68">
        <f t="shared" si="33"/>
        <v>0</v>
      </c>
      <c r="K524" s="68">
        <f t="shared" si="32"/>
        <v>0</v>
      </c>
      <c r="L524" s="100">
        <f t="shared" si="34"/>
        <v>-0.42486133646629831</v>
      </c>
      <c r="M524" s="68">
        <f t="shared" si="35"/>
        <v>10</v>
      </c>
    </row>
    <row r="525" spans="1:13">
      <c r="A525" s="100" t="str">
        <f>MID(Page012[[#This Row],[Column5]],SEARCH("(",Page012[[#This Row],[Column5]])+1,SEARCH(")",Page012[[#This Row],[Column5]])-SEARCH("(",Page012[[#This Row],[Column5]])-1)</f>
        <v>7.14</v>
      </c>
      <c r="B525" s="68" t="s">
        <v>492</v>
      </c>
      <c r="C525" s="68" t="s">
        <v>292</v>
      </c>
      <c r="D525" s="68" t="s">
        <v>292</v>
      </c>
      <c r="E525" s="68" t="s">
        <v>493</v>
      </c>
      <c r="F525" s="68" t="s">
        <v>360</v>
      </c>
      <c r="G525" s="68">
        <v>159</v>
      </c>
      <c r="H525" s="100" t="str">
        <f>MID(Page012[[#This Row],[Column4]],SEARCH("(",Page012[[#This Row],[Column4]])+1,SEARCH(")",Page012[[#This Row],[Column4]])-SEARCH("(",Page012[[#This Row],[Column4]])-1)</f>
        <v>914</v>
      </c>
      <c r="I525" s="68">
        <v>914</v>
      </c>
      <c r="J525" s="68">
        <f t="shared" si="33"/>
        <v>0</v>
      </c>
      <c r="K525" s="68">
        <f t="shared" si="32"/>
        <v>0</v>
      </c>
      <c r="L525" s="100">
        <f t="shared" si="34"/>
        <v>-0.42486133646629831</v>
      </c>
      <c r="M525" s="68">
        <f t="shared" si="35"/>
        <v>10</v>
      </c>
    </row>
    <row r="526" spans="1:13">
      <c r="A526" s="100" t="str">
        <f>MID(Page012[[#This Row],[Column5]],SEARCH("(",Page012[[#This Row],[Column5]])+1,SEARCH(")",Page012[[#This Row],[Column5]])-SEARCH("(",Page012[[#This Row],[Column5]])-1)</f>
        <v>7.92</v>
      </c>
      <c r="B526" s="68" t="s">
        <v>492</v>
      </c>
      <c r="C526" s="68" t="s">
        <v>292</v>
      </c>
      <c r="D526" s="68" t="s">
        <v>293</v>
      </c>
      <c r="E526" s="68" t="s">
        <v>493</v>
      </c>
      <c r="F526" s="68" t="s">
        <v>390</v>
      </c>
      <c r="G526" s="68">
        <v>176</v>
      </c>
      <c r="H526" s="100" t="str">
        <f>MID(Page012[[#This Row],[Column4]],SEARCH("(",Page012[[#This Row],[Column4]])+1,SEARCH(")",Page012[[#This Row],[Column4]])-SEARCH("(",Page012[[#This Row],[Column4]])-1)</f>
        <v>914</v>
      </c>
      <c r="I526" s="68">
        <v>914</v>
      </c>
      <c r="J526" s="68">
        <f t="shared" si="33"/>
        <v>0</v>
      </c>
      <c r="K526" s="68">
        <f t="shared" si="32"/>
        <v>0</v>
      </c>
      <c r="L526" s="100">
        <f t="shared" si="34"/>
        <v>-0.42486133646629831</v>
      </c>
      <c r="M526" s="68">
        <f t="shared" si="35"/>
        <v>10</v>
      </c>
    </row>
    <row r="527" spans="1:13">
      <c r="A527" s="100" t="str">
        <f>MID(Page012[[#This Row],[Column5]],SEARCH("(",Page012[[#This Row],[Column5]])+1,SEARCH(")",Page012[[#This Row],[Column5]])-SEARCH("(",Page012[[#This Row],[Column5]])-1)</f>
        <v>8.74</v>
      </c>
      <c r="B527" s="68" t="s">
        <v>492</v>
      </c>
      <c r="C527" s="68" t="s">
        <v>292</v>
      </c>
      <c r="D527" s="68" t="s">
        <v>292</v>
      </c>
      <c r="E527" s="68" t="s">
        <v>493</v>
      </c>
      <c r="F527" s="68" t="s">
        <v>367</v>
      </c>
      <c r="G527" s="68">
        <v>195</v>
      </c>
      <c r="H527" s="100" t="str">
        <f>MID(Page012[[#This Row],[Column4]],SEARCH("(",Page012[[#This Row],[Column4]])+1,SEARCH(")",Page012[[#This Row],[Column4]])-SEARCH("(",Page012[[#This Row],[Column4]])-1)</f>
        <v>914</v>
      </c>
      <c r="I527" s="68">
        <v>914</v>
      </c>
      <c r="J527" s="68">
        <f t="shared" si="33"/>
        <v>0</v>
      </c>
      <c r="K527" s="68">
        <f t="shared" si="32"/>
        <v>0</v>
      </c>
      <c r="L527" s="100">
        <f t="shared" si="34"/>
        <v>-0.42486133646629831</v>
      </c>
      <c r="M527" s="68">
        <f t="shared" si="35"/>
        <v>10</v>
      </c>
    </row>
    <row r="528" spans="1:13">
      <c r="A528" s="100" t="str">
        <f>MID(Page012[[#This Row],[Column5]],SEARCH("(",Page012[[#This Row],[Column5]])+1,SEARCH(")",Page012[[#This Row],[Column5]])-SEARCH("(",Page012[[#This Row],[Column5]])-1)</f>
        <v>9.53</v>
      </c>
      <c r="B528" s="68" t="s">
        <v>492</v>
      </c>
      <c r="C528" s="68" t="s">
        <v>300</v>
      </c>
      <c r="D528" s="68" t="s">
        <v>292</v>
      </c>
      <c r="E528" s="68" t="s">
        <v>493</v>
      </c>
      <c r="F528" s="68" t="s">
        <v>376</v>
      </c>
      <c r="G528" s="68">
        <v>212</v>
      </c>
      <c r="H528" s="100" t="str">
        <f>MID(Page012[[#This Row],[Column4]],SEARCH("(",Page012[[#This Row],[Column4]])+1,SEARCH(")",Page012[[#This Row],[Column4]])-SEARCH("(",Page012[[#This Row],[Column4]])-1)</f>
        <v>914</v>
      </c>
      <c r="I528" s="68">
        <v>914</v>
      </c>
      <c r="J528" s="68">
        <f t="shared" si="33"/>
        <v>0</v>
      </c>
      <c r="K528" s="68">
        <f t="shared" si="32"/>
        <v>0</v>
      </c>
      <c r="L528" s="100">
        <f t="shared" si="34"/>
        <v>-0.42486133646629831</v>
      </c>
      <c r="M528" s="68">
        <f t="shared" si="35"/>
        <v>10</v>
      </c>
    </row>
    <row r="529" spans="1:13">
      <c r="A529" s="100" t="str">
        <f>MID(Page012[[#This Row],[Column5]],SEARCH("(",Page012[[#This Row],[Column5]])+1,SEARCH(")",Page012[[#This Row],[Column5]])-SEARCH("(",Page012[[#This Row],[Column5]])-1)</f>
        <v>10.31</v>
      </c>
      <c r="B529" s="68" t="s">
        <v>492</v>
      </c>
      <c r="C529" s="68" t="s">
        <v>292</v>
      </c>
      <c r="D529" s="68" t="s">
        <v>292</v>
      </c>
      <c r="E529" s="68" t="s">
        <v>493</v>
      </c>
      <c r="F529" s="68" t="s">
        <v>417</v>
      </c>
      <c r="G529" s="68">
        <v>229</v>
      </c>
      <c r="H529" s="100" t="str">
        <f>MID(Page012[[#This Row],[Column4]],SEARCH("(",Page012[[#This Row],[Column4]])+1,SEARCH(")",Page012[[#This Row],[Column4]])-SEARCH("(",Page012[[#This Row],[Column4]])-1)</f>
        <v>914</v>
      </c>
      <c r="I529" s="68">
        <v>914</v>
      </c>
      <c r="J529" s="68">
        <f t="shared" si="33"/>
        <v>0</v>
      </c>
      <c r="K529" s="68">
        <f t="shared" si="32"/>
        <v>0</v>
      </c>
      <c r="L529" s="100">
        <f t="shared" si="34"/>
        <v>-0.42486133646629831</v>
      </c>
      <c r="M529" s="68">
        <f t="shared" si="35"/>
        <v>10</v>
      </c>
    </row>
    <row r="530" spans="1:13">
      <c r="A530" s="100" t="str">
        <f>MID(Page012[[#This Row],[Column5]],SEARCH("(",Page012[[#This Row],[Column5]])+1,SEARCH(")",Page012[[#This Row],[Column5]])-SEARCH("(",Page012[[#This Row],[Column5]])-1)</f>
        <v>11.13</v>
      </c>
      <c r="B530" s="68" t="s">
        <v>492</v>
      </c>
      <c r="C530" s="68" t="s">
        <v>292</v>
      </c>
      <c r="D530" s="68" t="s">
        <v>292</v>
      </c>
      <c r="E530" s="68" t="s">
        <v>493</v>
      </c>
      <c r="F530" s="68" t="s">
        <v>381</v>
      </c>
      <c r="G530" s="68">
        <v>247</v>
      </c>
      <c r="H530" s="100" t="str">
        <f>MID(Page012[[#This Row],[Column4]],SEARCH("(",Page012[[#This Row],[Column4]])+1,SEARCH(")",Page012[[#This Row],[Column4]])-SEARCH("(",Page012[[#This Row],[Column4]])-1)</f>
        <v>914</v>
      </c>
      <c r="I530" s="68">
        <v>914</v>
      </c>
      <c r="J530" s="68">
        <f t="shared" si="33"/>
        <v>0</v>
      </c>
      <c r="K530" s="68">
        <f t="shared" si="32"/>
        <v>0</v>
      </c>
      <c r="L530" s="100">
        <f t="shared" si="34"/>
        <v>-0.42486133646629831</v>
      </c>
      <c r="M530" s="68">
        <f t="shared" si="35"/>
        <v>10</v>
      </c>
    </row>
    <row r="531" spans="1:13">
      <c r="A531" s="100" t="str">
        <f>MID(Page012[[#This Row],[Column5]],SEARCH("(",Page012[[#This Row],[Column5]])+1,SEARCH(")",Page012[[#This Row],[Column5]])-SEARCH("(",Page012[[#This Row],[Column5]])-1)</f>
        <v>11.91</v>
      </c>
      <c r="B531" s="68" t="s">
        <v>492</v>
      </c>
      <c r="C531" s="68" t="s">
        <v>292</v>
      </c>
      <c r="D531" s="68" t="s">
        <v>292</v>
      </c>
      <c r="E531" s="68" t="s">
        <v>493</v>
      </c>
      <c r="F531" s="68" t="s">
        <v>444</v>
      </c>
      <c r="G531" s="68">
        <v>264</v>
      </c>
      <c r="H531" s="100" t="str">
        <f>MID(Page012[[#This Row],[Column4]],SEARCH("(",Page012[[#This Row],[Column4]])+1,SEARCH(")",Page012[[#This Row],[Column4]])-SEARCH("(",Page012[[#This Row],[Column4]])-1)</f>
        <v>914</v>
      </c>
      <c r="I531" s="68">
        <v>914</v>
      </c>
      <c r="J531" s="68">
        <f t="shared" si="33"/>
        <v>0</v>
      </c>
      <c r="K531" s="68">
        <f t="shared" si="32"/>
        <v>0</v>
      </c>
      <c r="L531" s="100">
        <f t="shared" si="34"/>
        <v>-0.42486133646629831</v>
      </c>
      <c r="M531" s="68">
        <f t="shared" si="35"/>
        <v>10</v>
      </c>
    </row>
    <row r="532" spans="1:13">
      <c r="A532" s="100" t="str">
        <f>MID(Page012[[#This Row],[Column5]],SEARCH("(",Page012[[#This Row],[Column5]])+1,SEARCH(")",Page012[[#This Row],[Column5]])-SEARCH("(",Page012[[#This Row],[Column5]])-1)</f>
        <v>12.70</v>
      </c>
      <c r="B532" s="68" t="s">
        <v>492</v>
      </c>
      <c r="C532" s="68" t="s">
        <v>303</v>
      </c>
      <c r="D532" s="68" t="s">
        <v>413</v>
      </c>
      <c r="E532" s="68" t="s">
        <v>493</v>
      </c>
      <c r="F532" s="68" t="s">
        <v>399</v>
      </c>
      <c r="G532" s="68">
        <v>282</v>
      </c>
      <c r="H532" s="100" t="str">
        <f>MID(Page012[[#This Row],[Column4]],SEARCH("(",Page012[[#This Row],[Column4]])+1,SEARCH(")",Page012[[#This Row],[Column4]])-SEARCH("(",Page012[[#This Row],[Column4]])-1)</f>
        <v>914</v>
      </c>
      <c r="I532" s="68">
        <v>914</v>
      </c>
      <c r="J532" s="68">
        <f t="shared" si="33"/>
        <v>0</v>
      </c>
      <c r="K532" s="68">
        <f t="shared" si="32"/>
        <v>0</v>
      </c>
      <c r="L532" s="100">
        <f t="shared" si="34"/>
        <v>-0.42486133646629831</v>
      </c>
      <c r="M532" s="68">
        <f t="shared" si="35"/>
        <v>10</v>
      </c>
    </row>
    <row r="533" spans="1:13">
      <c r="A533" s="100" t="str">
        <f>MID(Page012[[#This Row],[Column5]],SEARCH("(",Page012[[#This Row],[Column5]])+1,SEARCH(")",Page012[[#This Row],[Column5]])-SEARCH("(",Page012[[#This Row],[Column5]])-1)</f>
        <v>14.27</v>
      </c>
      <c r="B533" s="68" t="s">
        <v>492</v>
      </c>
      <c r="C533" s="68" t="s">
        <v>292</v>
      </c>
      <c r="D533" s="68" t="s">
        <v>292</v>
      </c>
      <c r="E533" s="68" t="s">
        <v>493</v>
      </c>
      <c r="F533" s="68" t="s">
        <v>406</v>
      </c>
      <c r="G533" s="68">
        <v>316</v>
      </c>
      <c r="H533" s="100" t="str">
        <f>MID(Page012[[#This Row],[Column4]],SEARCH("(",Page012[[#This Row],[Column4]])+1,SEARCH(")",Page012[[#This Row],[Column4]])-SEARCH("(",Page012[[#This Row],[Column4]])-1)</f>
        <v>914</v>
      </c>
      <c r="I533" s="68">
        <v>914</v>
      </c>
      <c r="J533" s="68">
        <f t="shared" si="33"/>
        <v>0</v>
      </c>
      <c r="K533" s="68">
        <f t="shared" si="32"/>
        <v>0</v>
      </c>
      <c r="L533" s="100">
        <f t="shared" si="34"/>
        <v>-0.42486133646629831</v>
      </c>
      <c r="M533" s="68">
        <f t="shared" si="35"/>
        <v>10</v>
      </c>
    </row>
    <row r="534" spans="1:13">
      <c r="A534" s="100" t="str">
        <f>MID(Page012[[#This Row],[Column5]],SEARCH("(",Page012[[#This Row],[Column5]])+1,SEARCH(")",Page012[[#This Row],[Column5]])-SEARCH("(",Page012[[#This Row],[Column5]])-1)</f>
        <v>15.88</v>
      </c>
      <c r="B534" s="68" t="s">
        <v>492</v>
      </c>
      <c r="C534" s="68" t="s">
        <v>292</v>
      </c>
      <c r="D534" s="68" t="s">
        <v>297</v>
      </c>
      <c r="E534" s="68" t="s">
        <v>493</v>
      </c>
      <c r="F534" s="68" t="s">
        <v>400</v>
      </c>
      <c r="G534" s="68">
        <v>351</v>
      </c>
      <c r="H534" s="100" t="str">
        <f>MID(Page012[[#This Row],[Column4]],SEARCH("(",Page012[[#This Row],[Column4]])+1,SEARCH(")",Page012[[#This Row],[Column4]])-SEARCH("(",Page012[[#This Row],[Column4]])-1)</f>
        <v>914</v>
      </c>
      <c r="I534" s="68">
        <v>914</v>
      </c>
      <c r="J534" s="68">
        <f t="shared" si="33"/>
        <v>0</v>
      </c>
      <c r="K534" s="68">
        <f t="shared" si="32"/>
        <v>0</v>
      </c>
      <c r="L534" s="100">
        <f t="shared" si="34"/>
        <v>-0.42486133646629831</v>
      </c>
      <c r="M534" s="68">
        <f t="shared" si="35"/>
        <v>10</v>
      </c>
    </row>
    <row r="535" spans="1:13">
      <c r="A535" s="100" t="str">
        <f>MID(Page012[[#This Row],[Column5]],SEARCH("(",Page012[[#This Row],[Column5]])+1,SEARCH(")",Page012[[#This Row],[Column5]])-SEARCH("(",Page012[[#This Row],[Column5]])-1)</f>
        <v>17.48</v>
      </c>
      <c r="B535" s="68" t="s">
        <v>492</v>
      </c>
      <c r="C535" s="68" t="s">
        <v>292</v>
      </c>
      <c r="D535" s="68" t="s">
        <v>292</v>
      </c>
      <c r="E535" s="68" t="s">
        <v>493</v>
      </c>
      <c r="F535" s="68" t="s">
        <v>438</v>
      </c>
      <c r="G535" s="68">
        <v>386</v>
      </c>
      <c r="H535" s="100" t="str">
        <f>MID(Page012[[#This Row],[Column4]],SEARCH("(",Page012[[#This Row],[Column4]])+1,SEARCH(")",Page012[[#This Row],[Column4]])-SEARCH("(",Page012[[#This Row],[Column4]])-1)</f>
        <v>914</v>
      </c>
      <c r="I535" s="68">
        <v>914</v>
      </c>
      <c r="J535" s="68">
        <f t="shared" si="33"/>
        <v>0</v>
      </c>
      <c r="K535" s="68">
        <f t="shared" si="32"/>
        <v>0</v>
      </c>
      <c r="L535" s="100">
        <f t="shared" si="34"/>
        <v>-0.42486133646629831</v>
      </c>
      <c r="M535" s="68">
        <f t="shared" si="35"/>
        <v>10</v>
      </c>
    </row>
    <row r="536" spans="1:13">
      <c r="A536" s="100" t="str">
        <f>MID(Page012[[#This Row],[Column5]],SEARCH("(",Page012[[#This Row],[Column5]])+1,SEARCH(")",Page012[[#This Row],[Column5]])-SEARCH("(",Page012[[#This Row],[Column5]])-1)</f>
        <v>19.05</v>
      </c>
      <c r="B536" s="68" t="s">
        <v>492</v>
      </c>
      <c r="C536" s="68" t="s">
        <v>292</v>
      </c>
      <c r="D536" s="68" t="s">
        <v>301</v>
      </c>
      <c r="E536" s="68" t="s">
        <v>493</v>
      </c>
      <c r="F536" s="68" t="s">
        <v>401</v>
      </c>
      <c r="G536" s="68">
        <v>420</v>
      </c>
      <c r="H536" s="100" t="str">
        <f>MID(Page012[[#This Row],[Column4]],SEARCH("(",Page012[[#This Row],[Column4]])+1,SEARCH(")",Page012[[#This Row],[Column4]])-SEARCH("(",Page012[[#This Row],[Column4]])-1)</f>
        <v>914</v>
      </c>
      <c r="I536" s="68">
        <v>914</v>
      </c>
      <c r="J536" s="68">
        <f t="shared" si="33"/>
        <v>0</v>
      </c>
      <c r="K536" s="68">
        <f t="shared" si="32"/>
        <v>0</v>
      </c>
      <c r="L536" s="100">
        <f t="shared" si="34"/>
        <v>-0.42486133646629831</v>
      </c>
      <c r="M536" s="68">
        <f t="shared" si="35"/>
        <v>10</v>
      </c>
    </row>
    <row r="537" spans="1:13">
      <c r="A537" s="100" t="str">
        <f>MID(Page012[[#This Row],[Column5]],SEARCH("(",Page012[[#This Row],[Column5]])+1,SEARCH(")",Page012[[#This Row],[Column5]])-SEARCH("(",Page012[[#This Row],[Column5]])-1)</f>
        <v>20.62</v>
      </c>
      <c r="B537" s="68" t="s">
        <v>492</v>
      </c>
      <c r="C537" s="68" t="s">
        <v>292</v>
      </c>
      <c r="D537" s="68" t="s">
        <v>292</v>
      </c>
      <c r="E537" s="68" t="s">
        <v>493</v>
      </c>
      <c r="F537" s="68" t="s">
        <v>421</v>
      </c>
      <c r="G537" s="68">
        <v>454</v>
      </c>
      <c r="H537" s="100" t="str">
        <f>MID(Page012[[#This Row],[Column4]],SEARCH("(",Page012[[#This Row],[Column4]])+1,SEARCH(")",Page012[[#This Row],[Column4]])-SEARCH("(",Page012[[#This Row],[Column4]])-1)</f>
        <v>914</v>
      </c>
      <c r="I537" s="68">
        <v>914</v>
      </c>
      <c r="J537" s="68">
        <f t="shared" si="33"/>
        <v>0</v>
      </c>
      <c r="K537" s="68">
        <f t="shared" si="32"/>
        <v>0</v>
      </c>
      <c r="L537" s="100">
        <f t="shared" si="34"/>
        <v>-0.42486133646629831</v>
      </c>
      <c r="M537" s="68">
        <f t="shared" si="35"/>
        <v>10</v>
      </c>
    </row>
    <row r="538" spans="1:13">
      <c r="A538" s="100" t="str">
        <f>MID(Page012[[#This Row],[Column5]],SEARCH("(",Page012[[#This Row],[Column5]])+1,SEARCH(")",Page012[[#This Row],[Column5]])-SEARCH("(",Page012[[#This Row],[Column5]])-1)</f>
        <v>22.23</v>
      </c>
      <c r="B538" s="68" t="s">
        <v>492</v>
      </c>
      <c r="C538" s="68" t="s">
        <v>292</v>
      </c>
      <c r="D538" s="68" t="s">
        <v>292</v>
      </c>
      <c r="E538" s="68" t="s">
        <v>493</v>
      </c>
      <c r="F538" s="68" t="s">
        <v>409</v>
      </c>
      <c r="G538" s="68">
        <v>488</v>
      </c>
      <c r="H538" s="100" t="str">
        <f>MID(Page012[[#This Row],[Column4]],SEARCH("(",Page012[[#This Row],[Column4]])+1,SEARCH(")",Page012[[#This Row],[Column4]])-SEARCH("(",Page012[[#This Row],[Column4]])-1)</f>
        <v>914</v>
      </c>
      <c r="I538" s="68">
        <v>914</v>
      </c>
      <c r="J538" s="68">
        <f t="shared" si="33"/>
        <v>0</v>
      </c>
      <c r="K538" s="68">
        <f t="shared" si="32"/>
        <v>0</v>
      </c>
      <c r="L538" s="100">
        <f t="shared" si="34"/>
        <v>-0.42486133646629831</v>
      </c>
      <c r="M538" s="68">
        <f t="shared" si="35"/>
        <v>10</v>
      </c>
    </row>
    <row r="539" spans="1:13">
      <c r="A539" s="100" t="str">
        <f>MID(Page012[[#This Row],[Column5]],SEARCH("(",Page012[[#This Row],[Column5]])+1,SEARCH(")",Page012[[#This Row],[Column5]])-SEARCH("(",Page012[[#This Row],[Column5]])-1)</f>
        <v>23.83</v>
      </c>
      <c r="B539" s="68" t="s">
        <v>492</v>
      </c>
      <c r="C539" s="68" t="s">
        <v>292</v>
      </c>
      <c r="D539" s="68" t="s">
        <v>292</v>
      </c>
      <c r="E539" s="68" t="s">
        <v>493</v>
      </c>
      <c r="F539" s="68" t="s">
        <v>431</v>
      </c>
      <c r="G539" s="68">
        <v>523</v>
      </c>
      <c r="H539" s="100" t="str">
        <f>MID(Page012[[#This Row],[Column4]],SEARCH("(",Page012[[#This Row],[Column4]])+1,SEARCH(")",Page012[[#This Row],[Column4]])-SEARCH("(",Page012[[#This Row],[Column4]])-1)</f>
        <v>914</v>
      </c>
      <c r="I539" s="68">
        <v>914</v>
      </c>
      <c r="J539" s="68">
        <f t="shared" si="33"/>
        <v>0</v>
      </c>
      <c r="K539" s="68">
        <f t="shared" si="32"/>
        <v>0</v>
      </c>
      <c r="L539" s="100">
        <f t="shared" si="34"/>
        <v>-0.42486133646629831</v>
      </c>
      <c r="M539" s="68">
        <f t="shared" si="35"/>
        <v>10</v>
      </c>
    </row>
    <row r="540" spans="1:13">
      <c r="A540" s="100" t="str">
        <f>MID(Page012[[#This Row],[Column5]],SEARCH("(",Page012[[#This Row],[Column5]])+1,SEARCH(")",Page012[[#This Row],[Column5]])-SEARCH("(",Page012[[#This Row],[Column5]])-1)</f>
        <v>25.40</v>
      </c>
      <c r="B540" s="68" t="s">
        <v>492</v>
      </c>
      <c r="C540" s="68" t="s">
        <v>292</v>
      </c>
      <c r="D540" s="68" t="s">
        <v>292</v>
      </c>
      <c r="E540" s="68" t="s">
        <v>493</v>
      </c>
      <c r="F540" s="68" t="s">
        <v>423</v>
      </c>
      <c r="G540" s="68">
        <v>556</v>
      </c>
      <c r="H540" s="100" t="str">
        <f>MID(Page012[[#This Row],[Column4]],SEARCH("(",Page012[[#This Row],[Column4]])+1,SEARCH(")",Page012[[#This Row],[Column4]])-SEARCH("(",Page012[[#This Row],[Column4]])-1)</f>
        <v>914</v>
      </c>
      <c r="I540" s="68">
        <v>914</v>
      </c>
      <c r="J540" s="68">
        <f t="shared" si="33"/>
        <v>0</v>
      </c>
      <c r="K540" s="68">
        <f t="shared" si="32"/>
        <v>0</v>
      </c>
      <c r="L540" s="100">
        <f t="shared" si="34"/>
        <v>-0.42486133646629831</v>
      </c>
      <c r="M540" s="68">
        <f t="shared" si="35"/>
        <v>10</v>
      </c>
    </row>
    <row r="541" spans="1:13">
      <c r="A541" s="100" t="str">
        <f>MID(Page012[[#This Row],[Column5]],SEARCH("(",Page012[[#This Row],[Column5]])+1,SEARCH(")",Page012[[#This Row],[Column5]])-SEARCH("(",Page012[[#This Row],[Column5]])-1)</f>
        <v>26.97</v>
      </c>
      <c r="B541" s="68" t="s">
        <v>492</v>
      </c>
      <c r="C541" s="68" t="s">
        <v>292</v>
      </c>
      <c r="D541" s="68" t="s">
        <v>292</v>
      </c>
      <c r="E541" s="68" t="s">
        <v>493</v>
      </c>
      <c r="F541" s="68" t="s">
        <v>439</v>
      </c>
      <c r="G541" s="68">
        <v>589</v>
      </c>
      <c r="H541" s="100" t="str">
        <f>MID(Page012[[#This Row],[Column4]],SEARCH("(",Page012[[#This Row],[Column4]])+1,SEARCH(")",Page012[[#This Row],[Column4]])-SEARCH("(",Page012[[#This Row],[Column4]])-1)</f>
        <v>914</v>
      </c>
      <c r="I541" s="68">
        <v>914</v>
      </c>
      <c r="J541" s="68">
        <f t="shared" si="33"/>
        <v>0</v>
      </c>
      <c r="K541" s="68">
        <f t="shared" si="32"/>
        <v>0</v>
      </c>
      <c r="L541" s="100">
        <f t="shared" si="34"/>
        <v>-0.42486133646629831</v>
      </c>
      <c r="M541" s="68">
        <f t="shared" si="35"/>
        <v>10</v>
      </c>
    </row>
    <row r="542" spans="1:13">
      <c r="A542" s="100" t="str">
        <f>MID(Page012[[#This Row],[Column5]],SEARCH("(",Page012[[#This Row],[Column5]])+1,SEARCH(")",Page012[[#This Row],[Column5]])-SEARCH("(",Page012[[#This Row],[Column5]])-1)</f>
        <v>28.58</v>
      </c>
      <c r="B542" s="68" t="s">
        <v>492</v>
      </c>
      <c r="C542" s="68" t="s">
        <v>292</v>
      </c>
      <c r="D542" s="68" t="s">
        <v>292</v>
      </c>
      <c r="E542" s="68" t="s">
        <v>493</v>
      </c>
      <c r="F542" s="68" t="s">
        <v>432</v>
      </c>
      <c r="G542" s="68">
        <v>624</v>
      </c>
      <c r="H542" s="100" t="str">
        <f>MID(Page012[[#This Row],[Column4]],SEARCH("(",Page012[[#This Row],[Column4]])+1,SEARCH(")",Page012[[#This Row],[Column4]])-SEARCH("(",Page012[[#This Row],[Column4]])-1)</f>
        <v>914</v>
      </c>
      <c r="I542" s="68">
        <v>914</v>
      </c>
      <c r="J542" s="68">
        <f t="shared" si="33"/>
        <v>0</v>
      </c>
      <c r="K542" s="68">
        <f t="shared" si="32"/>
        <v>0</v>
      </c>
      <c r="L542" s="100">
        <f t="shared" si="34"/>
        <v>-0.42486133646629831</v>
      </c>
      <c r="M542" s="68">
        <f t="shared" si="35"/>
        <v>10</v>
      </c>
    </row>
    <row r="543" spans="1:13">
      <c r="A543" s="100" t="str">
        <f>MID(Page012[[#This Row],[Column5]],SEARCH("(",Page012[[#This Row],[Column5]])+1,SEARCH(")",Page012[[#This Row],[Column5]])-SEARCH("(",Page012[[#This Row],[Column5]])-1)</f>
        <v>30.18</v>
      </c>
      <c r="B543" s="68" t="s">
        <v>492</v>
      </c>
      <c r="C543" s="68" t="s">
        <v>292</v>
      </c>
      <c r="D543" s="68" t="s">
        <v>292</v>
      </c>
      <c r="E543" s="68" t="s">
        <v>493</v>
      </c>
      <c r="F543" s="68" t="s">
        <v>455</v>
      </c>
      <c r="G543" s="68">
        <v>657</v>
      </c>
      <c r="H543" s="100" t="str">
        <f>MID(Page012[[#This Row],[Column4]],SEARCH("(",Page012[[#This Row],[Column4]])+1,SEARCH(")",Page012[[#This Row],[Column4]])-SEARCH("(",Page012[[#This Row],[Column4]])-1)</f>
        <v>914</v>
      </c>
      <c r="I543" s="68">
        <v>914</v>
      </c>
      <c r="J543" s="68">
        <f t="shared" si="33"/>
        <v>0</v>
      </c>
      <c r="K543" s="68">
        <f t="shared" si="32"/>
        <v>0</v>
      </c>
      <c r="L543" s="100">
        <f t="shared" si="34"/>
        <v>-0.42486133646629831</v>
      </c>
      <c r="M543" s="68">
        <f t="shared" si="35"/>
        <v>10</v>
      </c>
    </row>
    <row r="544" spans="1:13">
      <c r="A544" s="100" t="str">
        <f>MID(Page012[[#This Row],[Column5]],SEARCH("(",Page012[[#This Row],[Column5]])+1,SEARCH(")",Page012[[#This Row],[Column5]])-SEARCH("(",Page012[[#This Row],[Column5]])-1)</f>
        <v>31.75</v>
      </c>
      <c r="B544" s="68" t="s">
        <v>492</v>
      </c>
      <c r="C544" s="68" t="s">
        <v>292</v>
      </c>
      <c r="D544" s="68" t="s">
        <v>292</v>
      </c>
      <c r="E544" s="68" t="s">
        <v>493</v>
      </c>
      <c r="F544" s="68" t="s">
        <v>433</v>
      </c>
      <c r="G544" s="68">
        <v>690</v>
      </c>
      <c r="H544" s="100" t="str">
        <f>MID(Page012[[#This Row],[Column4]],SEARCH("(",Page012[[#This Row],[Column4]])+1,SEARCH(")",Page012[[#This Row],[Column4]])-SEARCH("(",Page012[[#This Row],[Column4]])-1)</f>
        <v>914</v>
      </c>
      <c r="I544" s="68">
        <v>914</v>
      </c>
      <c r="J544" s="68">
        <f t="shared" si="33"/>
        <v>0</v>
      </c>
      <c r="K544" s="68">
        <f t="shared" si="32"/>
        <v>0</v>
      </c>
      <c r="L544" s="100">
        <f t="shared" si="34"/>
        <v>-0.42486133646629831</v>
      </c>
      <c r="M544" s="68">
        <f t="shared" si="35"/>
        <v>10</v>
      </c>
    </row>
    <row r="545" spans="1:13">
      <c r="A545" s="100" t="str">
        <f>MID(Page012[[#This Row],[Column5]],SEARCH("(",Page012[[#This Row],[Column5]])+1,SEARCH(")",Page012[[#This Row],[Column5]])-SEARCH("(",Page012[[#This Row],[Column5]])-1)</f>
        <v>7.92</v>
      </c>
      <c r="B545" s="68" t="s">
        <v>494</v>
      </c>
      <c r="C545" s="68" t="s">
        <v>292</v>
      </c>
      <c r="D545" s="68" t="s">
        <v>292</v>
      </c>
      <c r="E545" s="68" t="s">
        <v>495</v>
      </c>
      <c r="F545" s="68" t="s">
        <v>390</v>
      </c>
      <c r="G545" s="68">
        <v>186</v>
      </c>
      <c r="H545" s="100" t="str">
        <f>MID(Page012[[#This Row],[Column4]],SEARCH("(",Page012[[#This Row],[Column4]])+1,SEARCH(")",Page012[[#This Row],[Column4]])-SEARCH("(",Page012[[#This Row],[Column4]])-1)</f>
        <v>965</v>
      </c>
      <c r="I545" s="68">
        <v>965</v>
      </c>
      <c r="J545" s="68">
        <f t="shared" si="33"/>
        <v>0</v>
      </c>
      <c r="K545" s="68">
        <f t="shared" si="32"/>
        <v>0</v>
      </c>
      <c r="L545" s="100">
        <f t="shared" si="34"/>
        <v>-0.42486133646629831</v>
      </c>
      <c r="M545" s="68">
        <f t="shared" si="35"/>
        <v>10</v>
      </c>
    </row>
    <row r="546" spans="1:13">
      <c r="A546" s="100" t="str">
        <f>MID(Page012[[#This Row],[Column5]],SEARCH("(",Page012[[#This Row],[Column5]])+1,SEARCH(")",Page012[[#This Row],[Column5]])-SEARCH("(",Page012[[#This Row],[Column5]])-1)</f>
        <v>8.74</v>
      </c>
      <c r="B546" s="68" t="s">
        <v>494</v>
      </c>
      <c r="C546" s="68" t="s">
        <v>292</v>
      </c>
      <c r="D546" s="68" t="s">
        <v>292</v>
      </c>
      <c r="E546" s="68" t="s">
        <v>495</v>
      </c>
      <c r="F546" s="68" t="s">
        <v>367</v>
      </c>
      <c r="G546" s="68">
        <v>206</v>
      </c>
      <c r="H546" s="100" t="str">
        <f>MID(Page012[[#This Row],[Column4]],SEARCH("(",Page012[[#This Row],[Column4]])+1,SEARCH(")",Page012[[#This Row],[Column4]])-SEARCH("(",Page012[[#This Row],[Column4]])-1)</f>
        <v>965</v>
      </c>
      <c r="I546" s="68">
        <v>965</v>
      </c>
      <c r="J546" s="68">
        <f t="shared" si="33"/>
        <v>0</v>
      </c>
      <c r="K546" s="68">
        <f t="shared" si="32"/>
        <v>0</v>
      </c>
      <c r="L546" s="100">
        <f t="shared" si="34"/>
        <v>-0.42486133646629831</v>
      </c>
      <c r="M546" s="68">
        <f t="shared" si="35"/>
        <v>10</v>
      </c>
    </row>
    <row r="547" spans="1:13">
      <c r="A547" s="100" t="str">
        <f>MID(Page012[[#This Row],[Column5]],SEARCH("(",Page012[[#This Row],[Column5]])+1,SEARCH(")",Page012[[#This Row],[Column5]])-SEARCH("(",Page012[[#This Row],[Column5]])-1)</f>
        <v>9.53</v>
      </c>
      <c r="B547" s="68" t="s">
        <v>494</v>
      </c>
      <c r="C547" s="68" t="s">
        <v>300</v>
      </c>
      <c r="D547" s="68" t="s">
        <v>292</v>
      </c>
      <c r="E547" s="68" t="s">
        <v>495</v>
      </c>
      <c r="F547" s="68" t="s">
        <v>376</v>
      </c>
      <c r="G547" s="68">
        <v>224</v>
      </c>
      <c r="H547" s="100" t="str">
        <f>MID(Page012[[#This Row],[Column4]],SEARCH("(",Page012[[#This Row],[Column4]])+1,SEARCH(")",Page012[[#This Row],[Column4]])-SEARCH("(",Page012[[#This Row],[Column4]])-1)</f>
        <v>965</v>
      </c>
      <c r="I547" s="68">
        <v>965</v>
      </c>
      <c r="J547" s="68">
        <f t="shared" si="33"/>
        <v>0</v>
      </c>
      <c r="K547" s="68">
        <f t="shared" si="32"/>
        <v>0</v>
      </c>
      <c r="L547" s="100">
        <f t="shared" si="34"/>
        <v>-0.42486133646629831</v>
      </c>
      <c r="M547" s="68">
        <f t="shared" si="35"/>
        <v>10</v>
      </c>
    </row>
    <row r="548" spans="1:13">
      <c r="A548" s="100" t="str">
        <f>MID(Page012[[#This Row],[Column5]],SEARCH("(",Page012[[#This Row],[Column5]])+1,SEARCH(")",Page012[[#This Row],[Column5]])-SEARCH("(",Page012[[#This Row],[Column5]])-1)</f>
        <v>10.31</v>
      </c>
      <c r="B548" s="68" t="s">
        <v>494</v>
      </c>
      <c r="C548" s="68" t="s">
        <v>292</v>
      </c>
      <c r="D548" s="68" t="s">
        <v>292</v>
      </c>
      <c r="E548" s="68" t="s">
        <v>495</v>
      </c>
      <c r="F548" s="68" t="s">
        <v>417</v>
      </c>
      <c r="G548" s="68">
        <v>242</v>
      </c>
      <c r="H548" s="100" t="str">
        <f>MID(Page012[[#This Row],[Column4]],SEARCH("(",Page012[[#This Row],[Column4]])+1,SEARCH(")",Page012[[#This Row],[Column4]])-SEARCH("(",Page012[[#This Row],[Column4]])-1)</f>
        <v>965</v>
      </c>
      <c r="I548" s="68">
        <v>965</v>
      </c>
      <c r="J548" s="68">
        <f t="shared" si="33"/>
        <v>0</v>
      </c>
      <c r="K548" s="68">
        <f t="shared" si="32"/>
        <v>0</v>
      </c>
      <c r="L548" s="100">
        <f t="shared" si="34"/>
        <v>-0.42486133646629831</v>
      </c>
      <c r="M548" s="68">
        <f t="shared" si="35"/>
        <v>10</v>
      </c>
    </row>
    <row r="549" spans="1:13">
      <c r="A549" s="100" t="str">
        <f>MID(Page012[[#This Row],[Column5]],SEARCH("(",Page012[[#This Row],[Column5]])+1,SEARCH(")",Page012[[#This Row],[Column5]])-SEARCH("(",Page012[[#This Row],[Column5]])-1)</f>
        <v>11.13</v>
      </c>
      <c r="B549" s="68" t="s">
        <v>494</v>
      </c>
      <c r="C549" s="68" t="s">
        <v>292</v>
      </c>
      <c r="D549" s="68" t="s">
        <v>292</v>
      </c>
      <c r="E549" s="68" t="s">
        <v>495</v>
      </c>
      <c r="F549" s="68" t="s">
        <v>381</v>
      </c>
      <c r="G549" s="68">
        <v>261</v>
      </c>
      <c r="H549" s="100" t="str">
        <f>MID(Page012[[#This Row],[Column4]],SEARCH("(",Page012[[#This Row],[Column4]])+1,SEARCH(")",Page012[[#This Row],[Column4]])-SEARCH("(",Page012[[#This Row],[Column4]])-1)</f>
        <v>965</v>
      </c>
      <c r="I549" s="68">
        <v>965</v>
      </c>
      <c r="J549" s="68">
        <f t="shared" si="33"/>
        <v>0</v>
      </c>
      <c r="K549" s="68">
        <f t="shared" si="32"/>
        <v>0</v>
      </c>
      <c r="L549" s="100">
        <f t="shared" si="34"/>
        <v>-0.42486133646629831</v>
      </c>
      <c r="M549" s="68">
        <f t="shared" si="35"/>
        <v>10</v>
      </c>
    </row>
    <row r="550" spans="1:13">
      <c r="A550" s="100" t="str">
        <f>MID(Page012[[#This Row],[Column5]],SEARCH("(",Page012[[#This Row],[Column5]])+1,SEARCH(")",Page012[[#This Row],[Column5]])-SEARCH("(",Page012[[#This Row],[Column5]])-1)</f>
        <v>11.91</v>
      </c>
      <c r="B550" s="68" t="s">
        <v>494</v>
      </c>
      <c r="C550" s="68" t="s">
        <v>292</v>
      </c>
      <c r="D550" s="68" t="s">
        <v>292</v>
      </c>
      <c r="E550" s="68" t="s">
        <v>495</v>
      </c>
      <c r="F550" s="68" t="s">
        <v>444</v>
      </c>
      <c r="G550" s="68">
        <v>279</v>
      </c>
      <c r="H550" s="100" t="str">
        <f>MID(Page012[[#This Row],[Column4]],SEARCH("(",Page012[[#This Row],[Column4]])+1,SEARCH(")",Page012[[#This Row],[Column4]])-SEARCH("(",Page012[[#This Row],[Column4]])-1)</f>
        <v>965</v>
      </c>
      <c r="I550" s="68">
        <v>965</v>
      </c>
      <c r="J550" s="68">
        <f t="shared" si="33"/>
        <v>0</v>
      </c>
      <c r="K550" s="68">
        <f t="shared" si="32"/>
        <v>0</v>
      </c>
      <c r="L550" s="100">
        <f t="shared" si="34"/>
        <v>-0.42486133646629831</v>
      </c>
      <c r="M550" s="68">
        <f t="shared" si="35"/>
        <v>10</v>
      </c>
    </row>
    <row r="551" spans="1:13">
      <c r="A551" s="100" t="str">
        <f>MID(Page012[[#This Row],[Column5]],SEARCH("(",Page012[[#This Row],[Column5]])+1,SEARCH(")",Page012[[#This Row],[Column5]])-SEARCH("(",Page012[[#This Row],[Column5]])-1)</f>
        <v>12.70</v>
      </c>
      <c r="B551" s="68" t="s">
        <v>494</v>
      </c>
      <c r="C551" s="68" t="s">
        <v>303</v>
      </c>
      <c r="D551" s="68" t="s">
        <v>292</v>
      </c>
      <c r="E551" s="68" t="s">
        <v>495</v>
      </c>
      <c r="F551" s="68" t="s">
        <v>399</v>
      </c>
      <c r="G551" s="68">
        <v>298</v>
      </c>
      <c r="H551" s="100" t="str">
        <f>MID(Page012[[#This Row],[Column4]],SEARCH("(",Page012[[#This Row],[Column4]])+1,SEARCH(")",Page012[[#This Row],[Column4]])-SEARCH("(",Page012[[#This Row],[Column4]])-1)</f>
        <v>965</v>
      </c>
      <c r="I551" s="68">
        <v>965</v>
      </c>
      <c r="J551" s="68">
        <f t="shared" si="33"/>
        <v>0</v>
      </c>
      <c r="K551" s="68">
        <f t="shared" si="32"/>
        <v>0</v>
      </c>
      <c r="L551" s="100">
        <f t="shared" si="34"/>
        <v>-0.42486133646629831</v>
      </c>
      <c r="M551" s="68">
        <f t="shared" si="35"/>
        <v>10</v>
      </c>
    </row>
    <row r="552" spans="1:13">
      <c r="A552" s="100" t="str">
        <f>MID(Page012[[#This Row],[Column5]],SEARCH("(",Page012[[#This Row],[Column5]])+1,SEARCH(")",Page012[[#This Row],[Column5]])-SEARCH("(",Page012[[#This Row],[Column5]])-1)</f>
        <v>14.27</v>
      </c>
      <c r="B552" s="68" t="s">
        <v>494</v>
      </c>
      <c r="C552" s="68" t="s">
        <v>292</v>
      </c>
      <c r="D552" s="68" t="s">
        <v>292</v>
      </c>
      <c r="E552" s="68" t="s">
        <v>495</v>
      </c>
      <c r="F552" s="68" t="s">
        <v>406</v>
      </c>
      <c r="G552" s="68">
        <v>334</v>
      </c>
      <c r="H552" s="100" t="str">
        <f>MID(Page012[[#This Row],[Column4]],SEARCH("(",Page012[[#This Row],[Column4]])+1,SEARCH(")",Page012[[#This Row],[Column4]])-SEARCH("(",Page012[[#This Row],[Column4]])-1)</f>
        <v>965</v>
      </c>
      <c r="I552" s="68">
        <v>965</v>
      </c>
      <c r="J552" s="68">
        <f t="shared" si="33"/>
        <v>0</v>
      </c>
      <c r="K552" s="68">
        <f t="shared" si="32"/>
        <v>0</v>
      </c>
      <c r="L552" s="100">
        <f t="shared" si="34"/>
        <v>-0.42486133646629831</v>
      </c>
      <c r="M552" s="68">
        <f t="shared" si="35"/>
        <v>10</v>
      </c>
    </row>
    <row r="553" spans="1:13">
      <c r="A553" s="100" t="str">
        <f>MID(Page012[[#This Row],[Column5]],SEARCH("(",Page012[[#This Row],[Column5]])+1,SEARCH(")",Page012[[#This Row],[Column5]])-SEARCH("(",Page012[[#This Row],[Column5]])-1)</f>
        <v>15.88</v>
      </c>
      <c r="B553" s="68" t="s">
        <v>494</v>
      </c>
      <c r="C553" s="68" t="s">
        <v>292</v>
      </c>
      <c r="D553" s="68" t="s">
        <v>292</v>
      </c>
      <c r="E553" s="68" t="s">
        <v>495</v>
      </c>
      <c r="F553" s="68" t="s">
        <v>400</v>
      </c>
      <c r="G553" s="68">
        <v>371</v>
      </c>
      <c r="H553" s="100" t="str">
        <f>MID(Page012[[#This Row],[Column4]],SEARCH("(",Page012[[#This Row],[Column4]])+1,SEARCH(")",Page012[[#This Row],[Column4]])-SEARCH("(",Page012[[#This Row],[Column4]])-1)</f>
        <v>965</v>
      </c>
      <c r="I553" s="68">
        <v>965</v>
      </c>
      <c r="J553" s="68">
        <f t="shared" si="33"/>
        <v>0</v>
      </c>
      <c r="K553" s="68">
        <f t="shared" si="32"/>
        <v>0</v>
      </c>
      <c r="L553" s="100">
        <f t="shared" si="34"/>
        <v>-0.42486133646629831</v>
      </c>
      <c r="M553" s="68">
        <f t="shared" si="35"/>
        <v>10</v>
      </c>
    </row>
    <row r="554" spans="1:13">
      <c r="A554" s="100" t="str">
        <f>MID(Page012[[#This Row],[Column5]],SEARCH("(",Page012[[#This Row],[Column5]])+1,SEARCH(")",Page012[[#This Row],[Column5]])-SEARCH("(",Page012[[#This Row],[Column5]])-1)</f>
        <v>17.48</v>
      </c>
      <c r="B554" s="68" t="s">
        <v>494</v>
      </c>
      <c r="C554" s="68" t="s">
        <v>292</v>
      </c>
      <c r="D554" s="68" t="s">
        <v>292</v>
      </c>
      <c r="E554" s="68" t="s">
        <v>495</v>
      </c>
      <c r="F554" s="68" t="s">
        <v>438</v>
      </c>
      <c r="G554" s="68">
        <v>408</v>
      </c>
      <c r="H554" s="100" t="str">
        <f>MID(Page012[[#This Row],[Column4]],SEARCH("(",Page012[[#This Row],[Column4]])+1,SEARCH(")",Page012[[#This Row],[Column4]])-SEARCH("(",Page012[[#This Row],[Column4]])-1)</f>
        <v>965</v>
      </c>
      <c r="I554" s="68">
        <v>965</v>
      </c>
      <c r="J554" s="68">
        <f t="shared" si="33"/>
        <v>0</v>
      </c>
      <c r="K554" s="68">
        <f t="shared" si="32"/>
        <v>0</v>
      </c>
      <c r="L554" s="100">
        <f t="shared" si="34"/>
        <v>-0.42486133646629831</v>
      </c>
      <c r="M554" s="68">
        <f t="shared" si="35"/>
        <v>10</v>
      </c>
    </row>
    <row r="555" spans="1:13">
      <c r="A555" s="100" t="str">
        <f>MID(Page012[[#This Row],[Column5]],SEARCH("(",Page012[[#This Row],[Column5]])+1,SEARCH(")",Page012[[#This Row],[Column5]])-SEARCH("(",Page012[[#This Row],[Column5]])-1)</f>
        <v>19.05</v>
      </c>
      <c r="B555" s="68" t="s">
        <v>494</v>
      </c>
      <c r="C555" s="68" t="s">
        <v>292</v>
      </c>
      <c r="D555" s="68" t="s">
        <v>292</v>
      </c>
      <c r="E555" s="68" t="s">
        <v>495</v>
      </c>
      <c r="F555" s="68" t="s">
        <v>401</v>
      </c>
      <c r="G555" s="68">
        <v>444</v>
      </c>
      <c r="H555" s="100" t="str">
        <f>MID(Page012[[#This Row],[Column4]],SEARCH("(",Page012[[#This Row],[Column4]])+1,SEARCH(")",Page012[[#This Row],[Column4]])-SEARCH("(",Page012[[#This Row],[Column4]])-1)</f>
        <v>965</v>
      </c>
      <c r="I555" s="68">
        <v>965</v>
      </c>
      <c r="J555" s="68">
        <f t="shared" si="33"/>
        <v>0</v>
      </c>
      <c r="K555" s="68">
        <f t="shared" si="32"/>
        <v>0</v>
      </c>
      <c r="L555" s="100">
        <f t="shared" si="34"/>
        <v>-0.42486133646629831</v>
      </c>
      <c r="M555" s="68">
        <f t="shared" si="35"/>
        <v>10</v>
      </c>
    </row>
    <row r="556" spans="1:13">
      <c r="A556" s="100" t="str">
        <f>MID(Page012[[#This Row],[Column5]],SEARCH("(",Page012[[#This Row],[Column5]])+1,SEARCH(")",Page012[[#This Row],[Column5]])-SEARCH("(",Page012[[#This Row],[Column5]])-1)</f>
        <v>20.62</v>
      </c>
      <c r="B556" s="68" t="s">
        <v>494</v>
      </c>
      <c r="C556" s="68" t="s">
        <v>292</v>
      </c>
      <c r="D556" s="68" t="s">
        <v>292</v>
      </c>
      <c r="E556" s="68" t="s">
        <v>495</v>
      </c>
      <c r="F556" s="68" t="s">
        <v>421</v>
      </c>
      <c r="G556" s="68">
        <v>480</v>
      </c>
      <c r="H556" s="100" t="str">
        <f>MID(Page012[[#This Row],[Column4]],SEARCH("(",Page012[[#This Row],[Column4]])+1,SEARCH(")",Page012[[#This Row],[Column4]])-SEARCH("(",Page012[[#This Row],[Column4]])-1)</f>
        <v>965</v>
      </c>
      <c r="I556" s="68">
        <v>965</v>
      </c>
      <c r="J556" s="68">
        <f t="shared" si="33"/>
        <v>0</v>
      </c>
      <c r="K556" s="68">
        <f t="shared" si="32"/>
        <v>0</v>
      </c>
      <c r="L556" s="100">
        <f t="shared" si="34"/>
        <v>-0.42486133646629831</v>
      </c>
      <c r="M556" s="68">
        <f t="shared" si="35"/>
        <v>10</v>
      </c>
    </row>
    <row r="557" spans="1:13">
      <c r="A557" s="100" t="str">
        <f>MID(Page012[[#This Row],[Column5]],SEARCH("(",Page012[[#This Row],[Column5]])+1,SEARCH(")",Page012[[#This Row],[Column5]])-SEARCH("(",Page012[[#This Row],[Column5]])-1)</f>
        <v>22.23</v>
      </c>
      <c r="B557" s="68" t="s">
        <v>494</v>
      </c>
      <c r="C557" s="68" t="s">
        <v>292</v>
      </c>
      <c r="D557" s="68" t="s">
        <v>292</v>
      </c>
      <c r="E557" s="68" t="s">
        <v>495</v>
      </c>
      <c r="F557" s="68" t="s">
        <v>409</v>
      </c>
      <c r="G557" s="68">
        <v>516</v>
      </c>
      <c r="H557" s="100" t="str">
        <f>MID(Page012[[#This Row],[Column4]],SEARCH("(",Page012[[#This Row],[Column4]])+1,SEARCH(")",Page012[[#This Row],[Column4]])-SEARCH("(",Page012[[#This Row],[Column4]])-1)</f>
        <v>965</v>
      </c>
      <c r="I557" s="68">
        <v>965</v>
      </c>
      <c r="J557" s="68">
        <f t="shared" si="33"/>
        <v>0</v>
      </c>
      <c r="K557" s="68">
        <f t="shared" si="32"/>
        <v>0</v>
      </c>
      <c r="L557" s="100">
        <f t="shared" si="34"/>
        <v>-0.42486133646629831</v>
      </c>
      <c r="M557" s="68">
        <f t="shared" si="35"/>
        <v>10</v>
      </c>
    </row>
    <row r="558" spans="1:13">
      <c r="A558" s="100" t="str">
        <f>MID(Page012[[#This Row],[Column5]],SEARCH("(",Page012[[#This Row],[Column5]])+1,SEARCH(")",Page012[[#This Row],[Column5]])-SEARCH("(",Page012[[#This Row],[Column5]])-1)</f>
        <v>23.83</v>
      </c>
      <c r="B558" s="68" t="s">
        <v>494</v>
      </c>
      <c r="C558" s="68" t="s">
        <v>292</v>
      </c>
      <c r="D558" s="68" t="s">
        <v>292</v>
      </c>
      <c r="E558" s="68" t="s">
        <v>495</v>
      </c>
      <c r="F558" s="68" t="s">
        <v>431</v>
      </c>
      <c r="G558" s="68">
        <v>553</v>
      </c>
      <c r="H558" s="100" t="str">
        <f>MID(Page012[[#This Row],[Column4]],SEARCH("(",Page012[[#This Row],[Column4]])+1,SEARCH(")",Page012[[#This Row],[Column4]])-SEARCH("(",Page012[[#This Row],[Column4]])-1)</f>
        <v>965</v>
      </c>
      <c r="I558" s="68">
        <v>965</v>
      </c>
      <c r="J558" s="68">
        <f t="shared" si="33"/>
        <v>0</v>
      </c>
      <c r="K558" s="68">
        <f t="shared" si="32"/>
        <v>0</v>
      </c>
      <c r="L558" s="100">
        <f t="shared" si="34"/>
        <v>-0.42486133646629831</v>
      </c>
      <c r="M558" s="68">
        <f t="shared" si="35"/>
        <v>10</v>
      </c>
    </row>
    <row r="559" spans="1:13">
      <c r="A559" s="100" t="str">
        <f>MID(Page012[[#This Row],[Column5]],SEARCH("(",Page012[[#This Row],[Column5]])+1,SEARCH(")",Page012[[#This Row],[Column5]])-SEARCH("(",Page012[[#This Row],[Column5]])-1)</f>
        <v>25.40</v>
      </c>
      <c r="B559" s="68" t="s">
        <v>494</v>
      </c>
      <c r="C559" s="68" t="s">
        <v>292</v>
      </c>
      <c r="D559" s="68" t="s">
        <v>292</v>
      </c>
      <c r="E559" s="68" t="s">
        <v>495</v>
      </c>
      <c r="F559" s="68" t="s">
        <v>423</v>
      </c>
      <c r="G559" s="68">
        <v>588</v>
      </c>
      <c r="H559" s="100" t="str">
        <f>MID(Page012[[#This Row],[Column4]],SEARCH("(",Page012[[#This Row],[Column4]])+1,SEARCH(")",Page012[[#This Row],[Column4]])-SEARCH("(",Page012[[#This Row],[Column4]])-1)</f>
        <v>965</v>
      </c>
      <c r="I559" s="68">
        <v>965</v>
      </c>
      <c r="J559" s="68">
        <f t="shared" si="33"/>
        <v>0</v>
      </c>
      <c r="K559" s="68">
        <f t="shared" si="32"/>
        <v>0</v>
      </c>
      <c r="L559" s="100">
        <f t="shared" si="34"/>
        <v>-0.42486133646629831</v>
      </c>
      <c r="M559" s="68">
        <f t="shared" si="35"/>
        <v>10</v>
      </c>
    </row>
    <row r="560" spans="1:13">
      <c r="A560" s="100" t="str">
        <f>MID(Page012[[#This Row],[Column5]],SEARCH("(",Page012[[#This Row],[Column5]])+1,SEARCH(")",Page012[[#This Row],[Column5]])-SEARCH("(",Page012[[#This Row],[Column5]])-1)</f>
        <v>26.97</v>
      </c>
      <c r="B560" s="68" t="s">
        <v>494</v>
      </c>
      <c r="C560" s="68" t="s">
        <v>292</v>
      </c>
      <c r="D560" s="68" t="s">
        <v>292</v>
      </c>
      <c r="E560" s="68" t="s">
        <v>495</v>
      </c>
      <c r="F560" s="68" t="s">
        <v>439</v>
      </c>
      <c r="G560" s="68">
        <v>623.9</v>
      </c>
      <c r="H560" s="100" t="str">
        <f>MID(Page012[[#This Row],[Column4]],SEARCH("(",Page012[[#This Row],[Column4]])+1,SEARCH(")",Page012[[#This Row],[Column4]])-SEARCH("(",Page012[[#This Row],[Column4]])-1)</f>
        <v>965</v>
      </c>
      <c r="I560" s="68">
        <v>965</v>
      </c>
      <c r="J560" s="68">
        <f t="shared" si="33"/>
        <v>0</v>
      </c>
      <c r="K560" s="68">
        <f t="shared" si="32"/>
        <v>0</v>
      </c>
      <c r="L560" s="100">
        <f t="shared" si="34"/>
        <v>-0.42486133646629831</v>
      </c>
      <c r="M560" s="68">
        <f t="shared" si="35"/>
        <v>10</v>
      </c>
    </row>
    <row r="561" spans="1:13">
      <c r="A561" s="100" t="str">
        <f>MID(Page012[[#This Row],[Column5]],SEARCH("(",Page012[[#This Row],[Column5]])+1,SEARCH(")",Page012[[#This Row],[Column5]])-SEARCH("(",Page012[[#This Row],[Column5]])-1)</f>
        <v>28.58</v>
      </c>
      <c r="B561" s="68" t="s">
        <v>494</v>
      </c>
      <c r="C561" s="68" t="s">
        <v>292</v>
      </c>
      <c r="D561" s="68" t="s">
        <v>292</v>
      </c>
      <c r="E561" s="68" t="s">
        <v>495</v>
      </c>
      <c r="F561" s="68" t="s">
        <v>432</v>
      </c>
      <c r="G561" s="68">
        <v>660</v>
      </c>
      <c r="H561" s="100" t="str">
        <f>MID(Page012[[#This Row],[Column4]],SEARCH("(",Page012[[#This Row],[Column4]])+1,SEARCH(")",Page012[[#This Row],[Column4]])-SEARCH("(",Page012[[#This Row],[Column4]])-1)</f>
        <v>965</v>
      </c>
      <c r="I561" s="68">
        <v>965</v>
      </c>
      <c r="J561" s="68">
        <f t="shared" si="33"/>
        <v>0</v>
      </c>
      <c r="K561" s="68">
        <f t="shared" si="32"/>
        <v>0</v>
      </c>
      <c r="L561" s="100">
        <f t="shared" si="34"/>
        <v>-0.42486133646629831</v>
      </c>
      <c r="M561" s="68">
        <f t="shared" si="35"/>
        <v>10</v>
      </c>
    </row>
    <row r="562" spans="1:13">
      <c r="A562" s="100" t="str">
        <f>MID(Page012[[#This Row],[Column5]],SEARCH("(",Page012[[#This Row],[Column5]])+1,SEARCH(")",Page012[[#This Row],[Column5]])-SEARCH("(",Page012[[#This Row],[Column5]])-1)</f>
        <v>30.18</v>
      </c>
      <c r="B562" s="68" t="s">
        <v>494</v>
      </c>
      <c r="C562" s="68" t="s">
        <v>292</v>
      </c>
      <c r="D562" s="68" t="s">
        <v>292</v>
      </c>
      <c r="E562" s="68" t="s">
        <v>495</v>
      </c>
      <c r="F562" s="68" t="s">
        <v>455</v>
      </c>
      <c r="G562" s="68">
        <v>695</v>
      </c>
      <c r="H562" s="100" t="str">
        <f>MID(Page012[[#This Row],[Column4]],SEARCH("(",Page012[[#This Row],[Column4]])+1,SEARCH(")",Page012[[#This Row],[Column4]])-SEARCH("(",Page012[[#This Row],[Column4]])-1)</f>
        <v>965</v>
      </c>
      <c r="I562" s="68">
        <v>965</v>
      </c>
      <c r="J562" s="68">
        <f t="shared" si="33"/>
        <v>0</v>
      </c>
      <c r="K562" s="68">
        <f t="shared" si="32"/>
        <v>0</v>
      </c>
      <c r="L562" s="100">
        <f t="shared" si="34"/>
        <v>-0.42486133646629831</v>
      </c>
      <c r="M562" s="68">
        <f t="shared" si="35"/>
        <v>10</v>
      </c>
    </row>
    <row r="563" spans="1:13">
      <c r="A563" s="100" t="str">
        <f>MID(Page012[[#This Row],[Column5]],SEARCH("(",Page012[[#This Row],[Column5]])+1,SEARCH(")",Page012[[#This Row],[Column5]])-SEARCH("(",Page012[[#This Row],[Column5]])-1)</f>
        <v>31.75</v>
      </c>
      <c r="B563" s="68" t="s">
        <v>494</v>
      </c>
      <c r="C563" s="68" t="s">
        <v>292</v>
      </c>
      <c r="D563" s="68" t="s">
        <v>292</v>
      </c>
      <c r="E563" s="68" t="s">
        <v>495</v>
      </c>
      <c r="F563" s="68" t="s">
        <v>433</v>
      </c>
      <c r="G563" s="68">
        <v>730</v>
      </c>
      <c r="H563" s="100" t="str">
        <f>MID(Page012[[#This Row],[Column4]],SEARCH("(",Page012[[#This Row],[Column4]])+1,SEARCH(")",Page012[[#This Row],[Column4]])-SEARCH("(",Page012[[#This Row],[Column4]])-1)</f>
        <v>965</v>
      </c>
      <c r="I563" s="68">
        <v>965</v>
      </c>
      <c r="J563" s="68">
        <f t="shared" si="33"/>
        <v>0</v>
      </c>
      <c r="K563" s="68">
        <f t="shared" si="32"/>
        <v>0</v>
      </c>
      <c r="L563" s="100">
        <f t="shared" si="34"/>
        <v>-0.42486133646629831</v>
      </c>
      <c r="M563" s="68">
        <f t="shared" si="35"/>
        <v>10</v>
      </c>
    </row>
    <row r="564" spans="1:13">
      <c r="A564" s="100" t="str">
        <f>MID(Page012[[#This Row],[Column5]],SEARCH("(",Page012[[#This Row],[Column5]])+1,SEARCH(")",Page012[[#This Row],[Column5]])-SEARCH("(",Page012[[#This Row],[Column5]])-1)</f>
        <v>7.92</v>
      </c>
      <c r="B564" s="68" t="s">
        <v>496</v>
      </c>
      <c r="C564" s="68" t="s">
        <v>292</v>
      </c>
      <c r="D564" s="68" t="s">
        <v>292</v>
      </c>
      <c r="E564" s="68" t="s">
        <v>497</v>
      </c>
      <c r="F564" s="68" t="s">
        <v>390</v>
      </c>
      <c r="G564" s="68">
        <v>196</v>
      </c>
      <c r="H564" s="100" t="str">
        <f>MID(Page012[[#This Row],[Column4]],SEARCH("(",Page012[[#This Row],[Column4]])+1,SEARCH(")",Page012[[#This Row],[Column4]])-SEARCH("(",Page012[[#This Row],[Column4]])-1)</f>
        <v>1016</v>
      </c>
      <c r="I564" s="68">
        <v>1016</v>
      </c>
      <c r="J564" s="68">
        <f t="shared" si="33"/>
        <v>0</v>
      </c>
      <c r="K564" s="68">
        <f t="shared" si="32"/>
        <v>0</v>
      </c>
      <c r="L564" s="100">
        <f t="shared" si="34"/>
        <v>-0.42486133646629831</v>
      </c>
      <c r="M564" s="68">
        <f t="shared" si="35"/>
        <v>10</v>
      </c>
    </row>
    <row r="565" spans="1:13">
      <c r="A565" s="100" t="str">
        <f>MID(Page012[[#This Row],[Column5]],SEARCH("(",Page012[[#This Row],[Column5]])+1,SEARCH(")",Page012[[#This Row],[Column5]])-SEARCH("(",Page012[[#This Row],[Column5]])-1)</f>
        <v>8.74</v>
      </c>
      <c r="B565" s="68" t="s">
        <v>496</v>
      </c>
      <c r="C565" s="68" t="s">
        <v>292</v>
      </c>
      <c r="D565" s="68" t="s">
        <v>292</v>
      </c>
      <c r="E565" s="68" t="s">
        <v>497</v>
      </c>
      <c r="F565" s="68" t="s">
        <v>367</v>
      </c>
      <c r="G565" s="68">
        <v>217</v>
      </c>
      <c r="H565" s="100" t="str">
        <f>MID(Page012[[#This Row],[Column4]],SEARCH("(",Page012[[#This Row],[Column4]])+1,SEARCH(")",Page012[[#This Row],[Column4]])-SEARCH("(",Page012[[#This Row],[Column4]])-1)</f>
        <v>1016</v>
      </c>
      <c r="I565" s="68">
        <v>1016</v>
      </c>
      <c r="J565" s="68">
        <f t="shared" si="33"/>
        <v>0</v>
      </c>
      <c r="K565" s="68">
        <f t="shared" si="32"/>
        <v>0</v>
      </c>
      <c r="L565" s="100">
        <f t="shared" si="34"/>
        <v>-0.42486133646629831</v>
      </c>
      <c r="M565" s="68">
        <f t="shared" si="35"/>
        <v>10</v>
      </c>
    </row>
    <row r="566" spans="1:13">
      <c r="A566" s="100" t="str">
        <f>MID(Page012[[#This Row],[Column5]],SEARCH("(",Page012[[#This Row],[Column5]])+1,SEARCH(")",Page012[[#This Row],[Column5]])-SEARCH("(",Page012[[#This Row],[Column5]])-1)</f>
        <v>9.53</v>
      </c>
      <c r="B566" s="68" t="s">
        <v>496</v>
      </c>
      <c r="C566" s="68" t="s">
        <v>300</v>
      </c>
      <c r="D566" s="68" t="s">
        <v>292</v>
      </c>
      <c r="E566" s="68" t="s">
        <v>497</v>
      </c>
      <c r="F566" s="68" t="s">
        <v>376</v>
      </c>
      <c r="G566" s="68">
        <v>236</v>
      </c>
      <c r="H566" s="100" t="str">
        <f>MID(Page012[[#This Row],[Column4]],SEARCH("(",Page012[[#This Row],[Column4]])+1,SEARCH(")",Page012[[#This Row],[Column4]])-SEARCH("(",Page012[[#This Row],[Column4]])-1)</f>
        <v>1016</v>
      </c>
      <c r="I566" s="68">
        <v>1016</v>
      </c>
      <c r="J566" s="68">
        <f t="shared" si="33"/>
        <v>0</v>
      </c>
      <c r="K566" s="68">
        <f t="shared" si="32"/>
        <v>0</v>
      </c>
      <c r="L566" s="100">
        <f t="shared" si="34"/>
        <v>-0.42486133646629831</v>
      </c>
      <c r="M566" s="68">
        <f t="shared" si="35"/>
        <v>10</v>
      </c>
    </row>
    <row r="567" spans="1:13">
      <c r="A567" s="100" t="str">
        <f>MID(Page012[[#This Row],[Column5]],SEARCH("(",Page012[[#This Row],[Column5]])+1,SEARCH(")",Page012[[#This Row],[Column5]])-SEARCH("(",Page012[[#This Row],[Column5]])-1)</f>
        <v>10.31</v>
      </c>
      <c r="B567" s="68" t="s">
        <v>496</v>
      </c>
      <c r="C567" s="68" t="s">
        <v>292</v>
      </c>
      <c r="D567" s="68" t="s">
        <v>292</v>
      </c>
      <c r="E567" s="68" t="s">
        <v>497</v>
      </c>
      <c r="F567" s="68" t="s">
        <v>417</v>
      </c>
      <c r="G567" s="68">
        <v>255</v>
      </c>
      <c r="H567" s="100" t="str">
        <f>MID(Page012[[#This Row],[Column4]],SEARCH("(",Page012[[#This Row],[Column4]])+1,SEARCH(")",Page012[[#This Row],[Column4]])-SEARCH("(",Page012[[#This Row],[Column4]])-1)</f>
        <v>1016</v>
      </c>
      <c r="I567" s="68">
        <v>1016</v>
      </c>
      <c r="J567" s="68">
        <f t="shared" si="33"/>
        <v>0</v>
      </c>
      <c r="K567" s="68">
        <f t="shared" si="32"/>
        <v>0</v>
      </c>
      <c r="L567" s="100">
        <f t="shared" si="34"/>
        <v>-0.42486133646629831</v>
      </c>
      <c r="M567" s="68">
        <f t="shared" si="35"/>
        <v>10</v>
      </c>
    </row>
    <row r="568" spans="1:13">
      <c r="A568" s="100" t="str">
        <f>MID(Page012[[#This Row],[Column5]],SEARCH("(",Page012[[#This Row],[Column5]])+1,SEARCH(")",Page012[[#This Row],[Column5]])-SEARCH("(",Page012[[#This Row],[Column5]])-1)</f>
        <v>11.13</v>
      </c>
      <c r="B568" s="68" t="s">
        <v>496</v>
      </c>
      <c r="C568" s="68" t="s">
        <v>292</v>
      </c>
      <c r="D568" s="68" t="s">
        <v>292</v>
      </c>
      <c r="E568" s="68" t="s">
        <v>497</v>
      </c>
      <c r="F568" s="68" t="s">
        <v>381</v>
      </c>
      <c r="G568" s="68">
        <v>275</v>
      </c>
      <c r="H568" s="100" t="str">
        <f>MID(Page012[[#This Row],[Column4]],SEARCH("(",Page012[[#This Row],[Column4]])+1,SEARCH(")",Page012[[#This Row],[Column4]])-SEARCH("(",Page012[[#This Row],[Column4]])-1)</f>
        <v>1016</v>
      </c>
      <c r="I568" s="68">
        <v>1016</v>
      </c>
      <c r="J568" s="68">
        <f t="shared" si="33"/>
        <v>0</v>
      </c>
      <c r="K568" s="68">
        <f t="shared" si="32"/>
        <v>0</v>
      </c>
      <c r="L568" s="100">
        <f t="shared" si="34"/>
        <v>-0.42486133646629831</v>
      </c>
      <c r="M568" s="68">
        <f t="shared" si="35"/>
        <v>10</v>
      </c>
    </row>
    <row r="569" spans="1:13">
      <c r="A569" s="100" t="str">
        <f>MID(Page012[[#This Row],[Column5]],SEARCH("(",Page012[[#This Row],[Column5]])+1,SEARCH(")",Page012[[#This Row],[Column5]])-SEARCH("(",Page012[[#This Row],[Column5]])-1)</f>
        <v>11.91</v>
      </c>
      <c r="B569" s="68" t="s">
        <v>496</v>
      </c>
      <c r="C569" s="68" t="s">
        <v>292</v>
      </c>
      <c r="D569" s="68" t="s">
        <v>292</v>
      </c>
      <c r="E569" s="68" t="s">
        <v>497</v>
      </c>
      <c r="F569" s="68" t="s">
        <v>444</v>
      </c>
      <c r="G569" s="68">
        <v>294</v>
      </c>
      <c r="H569" s="100" t="str">
        <f>MID(Page012[[#This Row],[Column4]],SEARCH("(",Page012[[#This Row],[Column4]])+1,SEARCH(")",Page012[[#This Row],[Column4]])-SEARCH("(",Page012[[#This Row],[Column4]])-1)</f>
        <v>1016</v>
      </c>
      <c r="I569" s="68">
        <v>1016</v>
      </c>
      <c r="J569" s="68">
        <f t="shared" si="33"/>
        <v>0</v>
      </c>
      <c r="K569" s="68">
        <f t="shared" si="32"/>
        <v>0</v>
      </c>
      <c r="L569" s="100">
        <f t="shared" si="34"/>
        <v>-0.42486133646629831</v>
      </c>
      <c r="M569" s="68">
        <f t="shared" si="35"/>
        <v>10</v>
      </c>
    </row>
    <row r="570" spans="1:13">
      <c r="A570" s="100" t="str">
        <f>MID(Page012[[#This Row],[Column5]],SEARCH("(",Page012[[#This Row],[Column5]])+1,SEARCH(")",Page012[[#This Row],[Column5]])-SEARCH("(",Page012[[#This Row],[Column5]])-1)</f>
        <v>12.70</v>
      </c>
      <c r="B570" s="68" t="s">
        <v>496</v>
      </c>
      <c r="C570" s="68" t="s">
        <v>303</v>
      </c>
      <c r="D570" s="68" t="s">
        <v>292</v>
      </c>
      <c r="E570" s="68" t="s">
        <v>497</v>
      </c>
      <c r="F570" s="68" t="s">
        <v>399</v>
      </c>
      <c r="G570" s="68">
        <v>314</v>
      </c>
      <c r="H570" s="100" t="str">
        <f>MID(Page012[[#This Row],[Column4]],SEARCH("(",Page012[[#This Row],[Column4]])+1,SEARCH(")",Page012[[#This Row],[Column4]])-SEARCH("(",Page012[[#This Row],[Column4]])-1)</f>
        <v>1016</v>
      </c>
      <c r="I570" s="68">
        <v>1016</v>
      </c>
      <c r="J570" s="68">
        <f t="shared" si="33"/>
        <v>0</v>
      </c>
      <c r="K570" s="68">
        <f t="shared" si="32"/>
        <v>0</v>
      </c>
      <c r="L570" s="100">
        <f t="shared" si="34"/>
        <v>-0.42486133646629831</v>
      </c>
      <c r="M570" s="68">
        <f t="shared" si="35"/>
        <v>10</v>
      </c>
    </row>
    <row r="571" spans="1:13">
      <c r="A571" s="100" t="str">
        <f>MID(Page012[[#This Row],[Column5]],SEARCH("(",Page012[[#This Row],[Column5]])+1,SEARCH(")",Page012[[#This Row],[Column5]])-SEARCH("(",Page012[[#This Row],[Column5]])-1)</f>
        <v>14.27</v>
      </c>
      <c r="B571" s="68" t="s">
        <v>496</v>
      </c>
      <c r="C571" s="68" t="s">
        <v>292</v>
      </c>
      <c r="D571" s="68" t="s">
        <v>292</v>
      </c>
      <c r="E571" s="68" t="s">
        <v>497</v>
      </c>
      <c r="F571" s="68" t="s">
        <v>406</v>
      </c>
      <c r="G571" s="68">
        <v>352</v>
      </c>
      <c r="H571" s="100" t="str">
        <f>MID(Page012[[#This Row],[Column4]],SEARCH("(",Page012[[#This Row],[Column4]])+1,SEARCH(")",Page012[[#This Row],[Column4]])-SEARCH("(",Page012[[#This Row],[Column4]])-1)</f>
        <v>1016</v>
      </c>
      <c r="I571" s="68">
        <v>1016</v>
      </c>
      <c r="J571" s="68">
        <f t="shared" si="33"/>
        <v>0</v>
      </c>
      <c r="K571" s="68">
        <f t="shared" si="32"/>
        <v>0</v>
      </c>
      <c r="L571" s="100">
        <f t="shared" si="34"/>
        <v>-0.42486133646629831</v>
      </c>
      <c r="M571" s="68">
        <f t="shared" si="35"/>
        <v>10</v>
      </c>
    </row>
    <row r="572" spans="1:13">
      <c r="A572" s="100" t="str">
        <f>MID(Page012[[#This Row],[Column5]],SEARCH("(",Page012[[#This Row],[Column5]])+1,SEARCH(")",Page012[[#This Row],[Column5]])-SEARCH("(",Page012[[#This Row],[Column5]])-1)</f>
        <v>15.88</v>
      </c>
      <c r="B572" s="68" t="s">
        <v>496</v>
      </c>
      <c r="C572" s="68" t="s">
        <v>292</v>
      </c>
      <c r="D572" s="68" t="s">
        <v>292</v>
      </c>
      <c r="E572" s="68" t="s">
        <v>497</v>
      </c>
      <c r="F572" s="68" t="s">
        <v>400</v>
      </c>
      <c r="G572" s="68">
        <v>391</v>
      </c>
      <c r="H572" s="100" t="str">
        <f>MID(Page012[[#This Row],[Column4]],SEARCH("(",Page012[[#This Row],[Column4]])+1,SEARCH(")",Page012[[#This Row],[Column4]])-SEARCH("(",Page012[[#This Row],[Column4]])-1)</f>
        <v>1016</v>
      </c>
      <c r="I572" s="68">
        <v>1016</v>
      </c>
      <c r="J572" s="68">
        <f t="shared" si="33"/>
        <v>0</v>
      </c>
      <c r="K572" s="68">
        <f t="shared" si="32"/>
        <v>0</v>
      </c>
      <c r="L572" s="100">
        <f t="shared" si="34"/>
        <v>-0.42486133646629831</v>
      </c>
      <c r="M572" s="68">
        <f t="shared" si="35"/>
        <v>10</v>
      </c>
    </row>
    <row r="573" spans="1:13">
      <c r="A573" s="100" t="str">
        <f>MID(Page012[[#This Row],[Column5]],SEARCH("(",Page012[[#This Row],[Column5]])+1,SEARCH(")",Page012[[#This Row],[Column5]])-SEARCH("(",Page012[[#This Row],[Column5]])-1)</f>
        <v>17.48</v>
      </c>
      <c r="B573" s="68" t="s">
        <v>496</v>
      </c>
      <c r="C573" s="68" t="s">
        <v>292</v>
      </c>
      <c r="D573" s="68" t="s">
        <v>292</v>
      </c>
      <c r="E573" s="68" t="s">
        <v>497</v>
      </c>
      <c r="F573" s="68" t="s">
        <v>438</v>
      </c>
      <c r="G573" s="68">
        <v>430</v>
      </c>
      <c r="H573" s="100" t="str">
        <f>MID(Page012[[#This Row],[Column4]],SEARCH("(",Page012[[#This Row],[Column4]])+1,SEARCH(")",Page012[[#This Row],[Column4]])-SEARCH("(",Page012[[#This Row],[Column4]])-1)</f>
        <v>1016</v>
      </c>
      <c r="I573" s="68">
        <v>1016</v>
      </c>
      <c r="J573" s="68">
        <f t="shared" si="33"/>
        <v>0</v>
      </c>
      <c r="K573" s="68">
        <f t="shared" si="32"/>
        <v>0</v>
      </c>
      <c r="L573" s="100">
        <f t="shared" si="34"/>
        <v>-0.42486133646629831</v>
      </c>
      <c r="M573" s="68">
        <f t="shared" si="35"/>
        <v>10</v>
      </c>
    </row>
    <row r="574" spans="1:13">
      <c r="A574" s="100" t="str">
        <f>MID(Page012[[#This Row],[Column5]],SEARCH("(",Page012[[#This Row],[Column5]])+1,SEARCH(")",Page012[[#This Row],[Column5]])-SEARCH("(",Page012[[#This Row],[Column5]])-1)</f>
        <v>19.05</v>
      </c>
      <c r="B574" s="68" t="s">
        <v>496</v>
      </c>
      <c r="C574" s="68" t="s">
        <v>292</v>
      </c>
      <c r="D574" s="68" t="s">
        <v>292</v>
      </c>
      <c r="E574" s="68" t="s">
        <v>497</v>
      </c>
      <c r="F574" s="68" t="s">
        <v>401</v>
      </c>
      <c r="G574" s="68">
        <v>468</v>
      </c>
      <c r="H574" s="100" t="str">
        <f>MID(Page012[[#This Row],[Column4]],SEARCH("(",Page012[[#This Row],[Column4]])+1,SEARCH(")",Page012[[#This Row],[Column4]])-SEARCH("(",Page012[[#This Row],[Column4]])-1)</f>
        <v>1016</v>
      </c>
      <c r="I574" s="68">
        <v>1016</v>
      </c>
      <c r="J574" s="68">
        <f t="shared" si="33"/>
        <v>0</v>
      </c>
      <c r="K574" s="68">
        <f t="shared" si="32"/>
        <v>0</v>
      </c>
      <c r="L574" s="100">
        <f t="shared" si="34"/>
        <v>-0.42486133646629831</v>
      </c>
      <c r="M574" s="68">
        <f t="shared" si="35"/>
        <v>10</v>
      </c>
    </row>
    <row r="575" spans="1:13">
      <c r="A575" s="100" t="str">
        <f>MID(Page012[[#This Row],[Column5]],SEARCH("(",Page012[[#This Row],[Column5]])+1,SEARCH(")",Page012[[#This Row],[Column5]])-SEARCH("(",Page012[[#This Row],[Column5]])-1)</f>
        <v>20.62</v>
      </c>
      <c r="B575" s="68" t="s">
        <v>496</v>
      </c>
      <c r="C575" s="68" t="s">
        <v>292</v>
      </c>
      <c r="D575" s="68" t="s">
        <v>292</v>
      </c>
      <c r="E575" s="68" t="s">
        <v>497</v>
      </c>
      <c r="F575" s="68" t="s">
        <v>421</v>
      </c>
      <c r="G575" s="68">
        <v>506</v>
      </c>
      <c r="H575" s="100" t="str">
        <f>MID(Page012[[#This Row],[Column4]],SEARCH("(",Page012[[#This Row],[Column4]])+1,SEARCH(")",Page012[[#This Row],[Column4]])-SEARCH("(",Page012[[#This Row],[Column4]])-1)</f>
        <v>1016</v>
      </c>
      <c r="I575" s="68">
        <v>1016</v>
      </c>
      <c r="J575" s="68">
        <f t="shared" si="33"/>
        <v>0</v>
      </c>
      <c r="K575" s="68">
        <f t="shared" si="32"/>
        <v>0</v>
      </c>
      <c r="L575" s="100">
        <f t="shared" si="34"/>
        <v>-0.42486133646629831</v>
      </c>
      <c r="M575" s="68">
        <f t="shared" si="35"/>
        <v>10</v>
      </c>
    </row>
    <row r="576" spans="1:13">
      <c r="A576" s="100" t="str">
        <f>MID(Page012[[#This Row],[Column5]],SEARCH("(",Page012[[#This Row],[Column5]])+1,SEARCH(")",Page012[[#This Row],[Column5]])-SEARCH("(",Page012[[#This Row],[Column5]])-1)</f>
        <v>22.23</v>
      </c>
      <c r="B576" s="68" t="s">
        <v>496</v>
      </c>
      <c r="C576" s="68" t="s">
        <v>292</v>
      </c>
      <c r="D576" s="68" t="s">
        <v>292</v>
      </c>
      <c r="E576" s="68" t="s">
        <v>497</v>
      </c>
      <c r="F576" s="68" t="s">
        <v>409</v>
      </c>
      <c r="G576" s="68">
        <v>544</v>
      </c>
      <c r="H576" s="100" t="str">
        <f>MID(Page012[[#This Row],[Column4]],SEARCH("(",Page012[[#This Row],[Column4]])+1,SEARCH(")",Page012[[#This Row],[Column4]])-SEARCH("(",Page012[[#This Row],[Column4]])-1)</f>
        <v>1016</v>
      </c>
      <c r="I576" s="68">
        <v>1016</v>
      </c>
      <c r="J576" s="68">
        <f t="shared" si="33"/>
        <v>0</v>
      </c>
      <c r="K576" s="68">
        <f t="shared" si="32"/>
        <v>0</v>
      </c>
      <c r="L576" s="100">
        <f t="shared" si="34"/>
        <v>-0.42486133646629831</v>
      </c>
      <c r="M576" s="68">
        <f t="shared" si="35"/>
        <v>10</v>
      </c>
    </row>
    <row r="577" spans="1:13">
      <c r="A577" s="100" t="str">
        <f>MID(Page012[[#This Row],[Column5]],SEARCH("(",Page012[[#This Row],[Column5]])+1,SEARCH(")",Page012[[#This Row],[Column5]])-SEARCH("(",Page012[[#This Row],[Column5]])-1)</f>
        <v>23.83</v>
      </c>
      <c r="B577" s="68" t="s">
        <v>496</v>
      </c>
      <c r="C577" s="68" t="s">
        <v>292</v>
      </c>
      <c r="D577" s="68" t="s">
        <v>292</v>
      </c>
      <c r="E577" s="68" t="s">
        <v>497</v>
      </c>
      <c r="F577" s="68" t="s">
        <v>431</v>
      </c>
      <c r="G577" s="68">
        <v>583</v>
      </c>
      <c r="H577" s="100" t="str">
        <f>MID(Page012[[#This Row],[Column4]],SEARCH("(",Page012[[#This Row],[Column4]])+1,SEARCH(")",Page012[[#This Row],[Column4]])-SEARCH("(",Page012[[#This Row],[Column4]])-1)</f>
        <v>1016</v>
      </c>
      <c r="I577" s="68">
        <v>1016</v>
      </c>
      <c r="J577" s="68">
        <f t="shared" si="33"/>
        <v>0</v>
      </c>
      <c r="K577" s="68">
        <f t="shared" si="32"/>
        <v>0</v>
      </c>
      <c r="L577" s="100">
        <f t="shared" si="34"/>
        <v>-0.42486133646629831</v>
      </c>
      <c r="M577" s="68">
        <f t="shared" si="35"/>
        <v>10</v>
      </c>
    </row>
    <row r="578" spans="1:13">
      <c r="A578" s="100" t="str">
        <f>MID(Page012[[#This Row],[Column5]],SEARCH("(",Page012[[#This Row],[Column5]])+1,SEARCH(")",Page012[[#This Row],[Column5]])-SEARCH("(",Page012[[#This Row],[Column5]])-1)</f>
        <v>25.40</v>
      </c>
      <c r="B578" s="68" t="s">
        <v>496</v>
      </c>
      <c r="C578" s="68" t="s">
        <v>292</v>
      </c>
      <c r="D578" s="68" t="s">
        <v>292</v>
      </c>
      <c r="E578" s="68" t="s">
        <v>497</v>
      </c>
      <c r="F578" s="68" t="s">
        <v>423</v>
      </c>
      <c r="G578" s="68">
        <v>620</v>
      </c>
      <c r="H578" s="100" t="str">
        <f>MID(Page012[[#This Row],[Column4]],SEARCH("(",Page012[[#This Row],[Column4]])+1,SEARCH(")",Page012[[#This Row],[Column4]])-SEARCH("(",Page012[[#This Row],[Column4]])-1)</f>
        <v>1016</v>
      </c>
      <c r="I578" s="68">
        <v>1016</v>
      </c>
      <c r="J578" s="68">
        <f t="shared" si="33"/>
        <v>0</v>
      </c>
      <c r="K578" s="68">
        <f t="shared" ref="K578:K641" si="36">IF(IF(I578&gt;=$Q$3,I578,$Q$2+10)&lt;=$Q$2,A578,0)</f>
        <v>0</v>
      </c>
      <c r="L578" s="100">
        <f t="shared" si="34"/>
        <v>-0.42486133646629831</v>
      </c>
      <c r="M578" s="68">
        <f t="shared" si="35"/>
        <v>10</v>
      </c>
    </row>
    <row r="579" spans="1:13">
      <c r="A579" s="100" t="str">
        <f>MID(Page012[[#This Row],[Column5]],SEARCH("(",Page012[[#This Row],[Column5]])+1,SEARCH(")",Page012[[#This Row],[Column5]])-SEARCH("(",Page012[[#This Row],[Column5]])-1)</f>
        <v>26.97</v>
      </c>
      <c r="B579" s="68" t="s">
        <v>496</v>
      </c>
      <c r="C579" s="68" t="s">
        <v>292</v>
      </c>
      <c r="D579" s="68" t="s">
        <v>292</v>
      </c>
      <c r="E579" s="68" t="s">
        <v>497</v>
      </c>
      <c r="F579" s="68" t="s">
        <v>439</v>
      </c>
      <c r="G579" s="68">
        <v>657</v>
      </c>
      <c r="H579" s="100" t="str">
        <f>MID(Page012[[#This Row],[Column4]],SEARCH("(",Page012[[#This Row],[Column4]])+1,SEARCH(")",Page012[[#This Row],[Column4]])-SEARCH("(",Page012[[#This Row],[Column4]])-1)</f>
        <v>1016</v>
      </c>
      <c r="I579" s="68">
        <v>1016</v>
      </c>
      <c r="J579" s="68">
        <f t="shared" ref="J579:J642" si="37">IF(IF(I579&gt;=$Q$3,I579,$Q$2+10)&lt;=$Q$2,I579,0)</f>
        <v>0</v>
      </c>
      <c r="K579" s="68">
        <f t="shared" si="36"/>
        <v>0</v>
      </c>
      <c r="L579" s="100">
        <f t="shared" ref="L579:L642" si="38">K579-$Q$1</f>
        <v>-0.42486133646629831</v>
      </c>
      <c r="M579" s="68">
        <f t="shared" si="35"/>
        <v>10</v>
      </c>
    </row>
    <row r="580" spans="1:13">
      <c r="A580" s="100" t="str">
        <f>MID(Page012[[#This Row],[Column5]],SEARCH("(",Page012[[#This Row],[Column5]])+1,SEARCH(")",Page012[[#This Row],[Column5]])-SEARCH("(",Page012[[#This Row],[Column5]])-1)</f>
        <v>28.58</v>
      </c>
      <c r="B580" s="68" t="s">
        <v>496</v>
      </c>
      <c r="C580" s="68" t="s">
        <v>292</v>
      </c>
      <c r="D580" s="68" t="s">
        <v>292</v>
      </c>
      <c r="E580" s="68" t="s">
        <v>497</v>
      </c>
      <c r="F580" s="68" t="s">
        <v>432</v>
      </c>
      <c r="G580" s="68">
        <v>695</v>
      </c>
      <c r="H580" s="100" t="str">
        <f>MID(Page012[[#This Row],[Column4]],SEARCH("(",Page012[[#This Row],[Column4]])+1,SEARCH(")",Page012[[#This Row],[Column4]])-SEARCH("(",Page012[[#This Row],[Column4]])-1)</f>
        <v>1016</v>
      </c>
      <c r="I580" s="68">
        <v>1016</v>
      </c>
      <c r="J580" s="68">
        <f t="shared" si="37"/>
        <v>0</v>
      </c>
      <c r="K580" s="68">
        <f t="shared" si="36"/>
        <v>0</v>
      </c>
      <c r="L580" s="100">
        <f t="shared" si="38"/>
        <v>-0.42486133646629831</v>
      </c>
      <c r="M580" s="68">
        <f t="shared" ref="M580:M643" si="39">IF(L580&lt;0,10,L580)</f>
        <v>10</v>
      </c>
    </row>
    <row r="581" spans="1:13">
      <c r="A581" s="100" t="str">
        <f>MID(Page012[[#This Row],[Column5]],SEARCH("(",Page012[[#This Row],[Column5]])+1,SEARCH(")",Page012[[#This Row],[Column5]])-SEARCH("(",Page012[[#This Row],[Column5]])-1)</f>
        <v>30.18</v>
      </c>
      <c r="B581" s="68" t="s">
        <v>496</v>
      </c>
      <c r="C581" s="68" t="s">
        <v>292</v>
      </c>
      <c r="D581" s="68" t="s">
        <v>292</v>
      </c>
      <c r="E581" s="68" t="s">
        <v>497</v>
      </c>
      <c r="F581" s="68" t="s">
        <v>455</v>
      </c>
      <c r="G581" s="68">
        <v>733</v>
      </c>
      <c r="H581" s="100" t="str">
        <f>MID(Page012[[#This Row],[Column4]],SEARCH("(",Page012[[#This Row],[Column4]])+1,SEARCH(")",Page012[[#This Row],[Column4]])-SEARCH("(",Page012[[#This Row],[Column4]])-1)</f>
        <v>1016</v>
      </c>
      <c r="I581" s="68">
        <v>1016</v>
      </c>
      <c r="J581" s="68">
        <f t="shared" si="37"/>
        <v>0</v>
      </c>
      <c r="K581" s="68">
        <f t="shared" si="36"/>
        <v>0</v>
      </c>
      <c r="L581" s="100">
        <f t="shared" si="38"/>
        <v>-0.42486133646629831</v>
      </c>
      <c r="M581" s="68">
        <f t="shared" si="39"/>
        <v>10</v>
      </c>
    </row>
    <row r="582" spans="1:13">
      <c r="A582" s="100" t="str">
        <f>MID(Page012[[#This Row],[Column5]],SEARCH("(",Page012[[#This Row],[Column5]])+1,SEARCH(")",Page012[[#This Row],[Column5]])-SEARCH("(",Page012[[#This Row],[Column5]])-1)</f>
        <v>31.75</v>
      </c>
      <c r="B582" s="68" t="s">
        <v>496</v>
      </c>
      <c r="C582" s="68" t="s">
        <v>292</v>
      </c>
      <c r="D582" s="68" t="s">
        <v>292</v>
      </c>
      <c r="E582" s="68" t="s">
        <v>497</v>
      </c>
      <c r="F582" s="68" t="s">
        <v>433</v>
      </c>
      <c r="G582" s="68">
        <v>770</v>
      </c>
      <c r="H582" s="100" t="str">
        <f>MID(Page012[[#This Row],[Column4]],SEARCH("(",Page012[[#This Row],[Column4]])+1,SEARCH(")",Page012[[#This Row],[Column4]])-SEARCH("(",Page012[[#This Row],[Column4]])-1)</f>
        <v>1016</v>
      </c>
      <c r="I582" s="68">
        <v>1016</v>
      </c>
      <c r="J582" s="68">
        <f t="shared" si="37"/>
        <v>0</v>
      </c>
      <c r="K582" s="68">
        <f t="shared" si="36"/>
        <v>0</v>
      </c>
      <c r="L582" s="100">
        <f t="shared" si="38"/>
        <v>-0.42486133646629831</v>
      </c>
      <c r="M582" s="68">
        <f t="shared" si="39"/>
        <v>10</v>
      </c>
    </row>
    <row r="583" spans="1:13">
      <c r="A583" s="100" t="str">
        <f>MID(Page012[[#This Row],[Column5]],SEARCH("(",Page012[[#This Row],[Column5]])+1,SEARCH(")",Page012[[#This Row],[Column5]])-SEARCH("(",Page012[[#This Row],[Column5]])-1)</f>
        <v>8.74</v>
      </c>
      <c r="B583" s="68" t="s">
        <v>498</v>
      </c>
      <c r="C583" s="68" t="s">
        <v>292</v>
      </c>
      <c r="D583" s="68" t="s">
        <v>292</v>
      </c>
      <c r="E583" s="68" t="s">
        <v>499</v>
      </c>
      <c r="F583" s="68" t="s">
        <v>367</v>
      </c>
      <c r="G583" s="68">
        <v>228</v>
      </c>
      <c r="H583" s="100" t="str">
        <f>MID(Page012[[#This Row],[Column4]],SEARCH("(",Page012[[#This Row],[Column4]])+1,SEARCH(")",Page012[[#This Row],[Column4]])-SEARCH("(",Page012[[#This Row],[Column4]])-1)</f>
        <v>1067</v>
      </c>
      <c r="I583" s="68">
        <v>1067</v>
      </c>
      <c r="J583" s="68">
        <f t="shared" si="37"/>
        <v>0</v>
      </c>
      <c r="K583" s="68">
        <f t="shared" si="36"/>
        <v>0</v>
      </c>
      <c r="L583" s="100">
        <f t="shared" si="38"/>
        <v>-0.42486133646629831</v>
      </c>
      <c r="M583" s="68">
        <f t="shared" si="39"/>
        <v>10</v>
      </c>
    </row>
    <row r="584" spans="1:13">
      <c r="A584" s="100" t="str">
        <f>MID(Page012[[#This Row],[Column5]],SEARCH("(",Page012[[#This Row],[Column5]])+1,SEARCH(")",Page012[[#This Row],[Column5]])-SEARCH("(",Page012[[#This Row],[Column5]])-1)</f>
        <v>9.53</v>
      </c>
      <c r="B584" s="68" t="s">
        <v>498</v>
      </c>
      <c r="C584" s="68" t="s">
        <v>300</v>
      </c>
      <c r="D584" s="68" t="s">
        <v>292</v>
      </c>
      <c r="E584" s="68" t="s">
        <v>499</v>
      </c>
      <c r="F584" s="68" t="s">
        <v>376</v>
      </c>
      <c r="G584" s="68">
        <v>248</v>
      </c>
      <c r="H584" s="100" t="str">
        <f>MID(Page012[[#This Row],[Column4]],SEARCH("(",Page012[[#This Row],[Column4]])+1,SEARCH(")",Page012[[#This Row],[Column4]])-SEARCH("(",Page012[[#This Row],[Column4]])-1)</f>
        <v>1067</v>
      </c>
      <c r="I584" s="68">
        <v>1067</v>
      </c>
      <c r="J584" s="68">
        <f t="shared" si="37"/>
        <v>0</v>
      </c>
      <c r="K584" s="68">
        <f t="shared" si="36"/>
        <v>0</v>
      </c>
      <c r="L584" s="100">
        <f t="shared" si="38"/>
        <v>-0.42486133646629831</v>
      </c>
      <c r="M584" s="68">
        <f t="shared" si="39"/>
        <v>10</v>
      </c>
    </row>
    <row r="585" spans="1:13">
      <c r="A585" s="100" t="str">
        <f>MID(Page012[[#This Row],[Column5]],SEARCH("(",Page012[[#This Row],[Column5]])+1,SEARCH(")",Page012[[#This Row],[Column5]])-SEARCH("(",Page012[[#This Row],[Column5]])-1)</f>
        <v>10.31</v>
      </c>
      <c r="B585" s="68" t="s">
        <v>498</v>
      </c>
      <c r="C585" s="68" t="s">
        <v>292</v>
      </c>
      <c r="D585" s="68" t="s">
        <v>292</v>
      </c>
      <c r="E585" s="68" t="s">
        <v>499</v>
      </c>
      <c r="F585" s="68" t="s">
        <v>417</v>
      </c>
      <c r="G585" s="68">
        <v>268</v>
      </c>
      <c r="H585" s="100" t="str">
        <f>MID(Page012[[#This Row],[Column4]],SEARCH("(",Page012[[#This Row],[Column4]])+1,SEARCH(")",Page012[[#This Row],[Column4]])-SEARCH("(",Page012[[#This Row],[Column4]])-1)</f>
        <v>1067</v>
      </c>
      <c r="I585" s="68">
        <v>1067</v>
      </c>
      <c r="J585" s="68">
        <f t="shared" si="37"/>
        <v>0</v>
      </c>
      <c r="K585" s="68">
        <f t="shared" si="36"/>
        <v>0</v>
      </c>
      <c r="L585" s="100">
        <f t="shared" si="38"/>
        <v>-0.42486133646629831</v>
      </c>
      <c r="M585" s="68">
        <f t="shared" si="39"/>
        <v>10</v>
      </c>
    </row>
    <row r="586" spans="1:13">
      <c r="A586" s="100" t="str">
        <f>MID(Page012[[#This Row],[Column5]],SEARCH("(",Page012[[#This Row],[Column5]])+1,SEARCH(")",Page012[[#This Row],[Column5]])-SEARCH("(",Page012[[#This Row],[Column5]])-1)</f>
        <v>11.13</v>
      </c>
      <c r="B586" s="68" t="s">
        <v>498</v>
      </c>
      <c r="C586" s="68" t="s">
        <v>292</v>
      </c>
      <c r="D586" s="68" t="s">
        <v>292</v>
      </c>
      <c r="E586" s="68" t="s">
        <v>499</v>
      </c>
      <c r="F586" s="68" t="s">
        <v>381</v>
      </c>
      <c r="G586" s="68">
        <v>289</v>
      </c>
      <c r="H586" s="100" t="str">
        <f>MID(Page012[[#This Row],[Column4]],SEARCH("(",Page012[[#This Row],[Column4]])+1,SEARCH(")",Page012[[#This Row],[Column4]])-SEARCH("(",Page012[[#This Row],[Column4]])-1)</f>
        <v>1067</v>
      </c>
      <c r="I586" s="68">
        <v>1067</v>
      </c>
      <c r="J586" s="68">
        <f t="shared" si="37"/>
        <v>0</v>
      </c>
      <c r="K586" s="68">
        <f t="shared" si="36"/>
        <v>0</v>
      </c>
      <c r="L586" s="100">
        <f t="shared" si="38"/>
        <v>-0.42486133646629831</v>
      </c>
      <c r="M586" s="68">
        <f t="shared" si="39"/>
        <v>10</v>
      </c>
    </row>
    <row r="587" spans="1:13">
      <c r="A587" s="100" t="str">
        <f>MID(Page012[[#This Row],[Column5]],SEARCH("(",Page012[[#This Row],[Column5]])+1,SEARCH(")",Page012[[#This Row],[Column5]])-SEARCH("(",Page012[[#This Row],[Column5]])-1)</f>
        <v>11.91</v>
      </c>
      <c r="B587" s="68" t="s">
        <v>498</v>
      </c>
      <c r="C587" s="68" t="s">
        <v>292</v>
      </c>
      <c r="D587" s="68" t="s">
        <v>292</v>
      </c>
      <c r="E587" s="68" t="s">
        <v>499</v>
      </c>
      <c r="F587" s="68" t="s">
        <v>444</v>
      </c>
      <c r="G587" s="68">
        <v>309.89999999999998</v>
      </c>
      <c r="H587" s="100" t="str">
        <f>MID(Page012[[#This Row],[Column4]],SEARCH("(",Page012[[#This Row],[Column4]])+1,SEARCH(")",Page012[[#This Row],[Column4]])-SEARCH("(",Page012[[#This Row],[Column4]])-1)</f>
        <v>1067</v>
      </c>
      <c r="I587" s="68">
        <v>1067</v>
      </c>
      <c r="J587" s="68">
        <f t="shared" si="37"/>
        <v>0</v>
      </c>
      <c r="K587" s="68">
        <f t="shared" si="36"/>
        <v>0</v>
      </c>
      <c r="L587" s="100">
        <f t="shared" si="38"/>
        <v>-0.42486133646629831</v>
      </c>
      <c r="M587" s="68">
        <f t="shared" si="39"/>
        <v>10</v>
      </c>
    </row>
    <row r="588" spans="1:13">
      <c r="A588" s="100" t="str">
        <f>MID(Page012[[#This Row],[Column5]],SEARCH("(",Page012[[#This Row],[Column5]])+1,SEARCH(")",Page012[[#This Row],[Column5]])-SEARCH("(",Page012[[#This Row],[Column5]])-1)</f>
        <v>12.70</v>
      </c>
      <c r="B588" s="68" t="s">
        <v>498</v>
      </c>
      <c r="C588" s="68" t="s">
        <v>303</v>
      </c>
      <c r="D588" s="68" t="s">
        <v>292</v>
      </c>
      <c r="E588" s="68" t="s">
        <v>499</v>
      </c>
      <c r="F588" s="68" t="s">
        <v>399</v>
      </c>
      <c r="G588" s="68">
        <v>330</v>
      </c>
      <c r="H588" s="100" t="str">
        <f>MID(Page012[[#This Row],[Column4]],SEARCH("(",Page012[[#This Row],[Column4]])+1,SEARCH(")",Page012[[#This Row],[Column4]])-SEARCH("(",Page012[[#This Row],[Column4]])-1)</f>
        <v>1067</v>
      </c>
      <c r="I588" s="68">
        <v>1067</v>
      </c>
      <c r="J588" s="68">
        <f t="shared" si="37"/>
        <v>0</v>
      </c>
      <c r="K588" s="68">
        <f t="shared" si="36"/>
        <v>0</v>
      </c>
      <c r="L588" s="100">
        <f t="shared" si="38"/>
        <v>-0.42486133646629831</v>
      </c>
      <c r="M588" s="68">
        <f t="shared" si="39"/>
        <v>10</v>
      </c>
    </row>
    <row r="589" spans="1:13">
      <c r="A589" s="100" t="str">
        <f>MID(Page012[[#This Row],[Column5]],SEARCH("(",Page012[[#This Row],[Column5]])+1,SEARCH(")",Page012[[#This Row],[Column5]])-SEARCH("(",Page012[[#This Row],[Column5]])-1)</f>
        <v>14.27</v>
      </c>
      <c r="B589" s="68" t="s">
        <v>498</v>
      </c>
      <c r="C589" s="68" t="s">
        <v>292</v>
      </c>
      <c r="D589" s="68" t="s">
        <v>292</v>
      </c>
      <c r="E589" s="68" t="s">
        <v>499</v>
      </c>
      <c r="F589" s="68" t="s">
        <v>406</v>
      </c>
      <c r="G589" s="68">
        <v>370</v>
      </c>
      <c r="H589" s="100" t="str">
        <f>MID(Page012[[#This Row],[Column4]],SEARCH("(",Page012[[#This Row],[Column4]])+1,SEARCH(")",Page012[[#This Row],[Column4]])-SEARCH("(",Page012[[#This Row],[Column4]])-1)</f>
        <v>1067</v>
      </c>
      <c r="I589" s="68">
        <v>1067</v>
      </c>
      <c r="J589" s="68">
        <f t="shared" si="37"/>
        <v>0</v>
      </c>
      <c r="K589" s="68">
        <f t="shared" si="36"/>
        <v>0</v>
      </c>
      <c r="L589" s="100">
        <f t="shared" si="38"/>
        <v>-0.42486133646629831</v>
      </c>
      <c r="M589" s="68">
        <f t="shared" si="39"/>
        <v>10</v>
      </c>
    </row>
    <row r="590" spans="1:13">
      <c r="A590" s="100" t="str">
        <f>MID(Page012[[#This Row],[Column5]],SEARCH("(",Page012[[#This Row],[Column5]])+1,SEARCH(")",Page012[[#This Row],[Column5]])-SEARCH("(",Page012[[#This Row],[Column5]])-1)</f>
        <v>15.88</v>
      </c>
      <c r="B590" s="68" t="s">
        <v>498</v>
      </c>
      <c r="C590" s="68" t="s">
        <v>292</v>
      </c>
      <c r="D590" s="68" t="s">
        <v>292</v>
      </c>
      <c r="E590" s="68" t="s">
        <v>499</v>
      </c>
      <c r="F590" s="68" t="s">
        <v>400</v>
      </c>
      <c r="G590" s="68">
        <v>411</v>
      </c>
      <c r="H590" s="100" t="str">
        <f>MID(Page012[[#This Row],[Column4]],SEARCH("(",Page012[[#This Row],[Column4]])+1,SEARCH(")",Page012[[#This Row],[Column4]])-SEARCH("(",Page012[[#This Row],[Column4]])-1)</f>
        <v>1067</v>
      </c>
      <c r="I590" s="68">
        <v>1067</v>
      </c>
      <c r="J590" s="68">
        <f t="shared" si="37"/>
        <v>0</v>
      </c>
      <c r="K590" s="68">
        <f t="shared" si="36"/>
        <v>0</v>
      </c>
      <c r="L590" s="100">
        <f t="shared" si="38"/>
        <v>-0.42486133646629831</v>
      </c>
      <c r="M590" s="68">
        <f t="shared" si="39"/>
        <v>10</v>
      </c>
    </row>
    <row r="591" spans="1:13">
      <c r="A591" s="100" t="str">
        <f>MID(Page012[[#This Row],[Column5]],SEARCH("(",Page012[[#This Row],[Column5]])+1,SEARCH(")",Page012[[#This Row],[Column5]])-SEARCH("(",Page012[[#This Row],[Column5]])-1)</f>
        <v>17.48</v>
      </c>
      <c r="B591" s="68" t="s">
        <v>498</v>
      </c>
      <c r="C591" s="68" t="s">
        <v>292</v>
      </c>
      <c r="D591" s="68" t="s">
        <v>292</v>
      </c>
      <c r="E591" s="68" t="s">
        <v>499</v>
      </c>
      <c r="F591" s="68" t="s">
        <v>438</v>
      </c>
      <c r="G591" s="68">
        <v>452</v>
      </c>
      <c r="H591" s="100" t="str">
        <f>MID(Page012[[#This Row],[Column4]],SEARCH("(",Page012[[#This Row],[Column4]])+1,SEARCH(")",Page012[[#This Row],[Column4]])-SEARCH("(",Page012[[#This Row],[Column4]])-1)</f>
        <v>1067</v>
      </c>
      <c r="I591" s="68">
        <v>1067</v>
      </c>
      <c r="J591" s="68">
        <f t="shared" si="37"/>
        <v>0</v>
      </c>
      <c r="K591" s="68">
        <f t="shared" si="36"/>
        <v>0</v>
      </c>
      <c r="L591" s="100">
        <f t="shared" si="38"/>
        <v>-0.42486133646629831</v>
      </c>
      <c r="M591" s="68">
        <f t="shared" si="39"/>
        <v>10</v>
      </c>
    </row>
    <row r="592" spans="1:13">
      <c r="A592" s="100" t="str">
        <f>MID(Page012[[#This Row],[Column5]],SEARCH("(",Page012[[#This Row],[Column5]])+1,SEARCH(")",Page012[[#This Row],[Column5]])-SEARCH("(",Page012[[#This Row],[Column5]])-1)</f>
        <v>19.05</v>
      </c>
      <c r="B592" s="68" t="s">
        <v>498</v>
      </c>
      <c r="C592" s="68" t="s">
        <v>292</v>
      </c>
      <c r="D592" s="68" t="s">
        <v>292</v>
      </c>
      <c r="E592" s="68" t="s">
        <v>499</v>
      </c>
      <c r="F592" s="68" t="s">
        <v>401</v>
      </c>
      <c r="G592" s="68">
        <v>492</v>
      </c>
      <c r="H592" s="100" t="str">
        <f>MID(Page012[[#This Row],[Column4]],SEARCH("(",Page012[[#This Row],[Column4]])+1,SEARCH(")",Page012[[#This Row],[Column4]])-SEARCH("(",Page012[[#This Row],[Column4]])-1)</f>
        <v>1067</v>
      </c>
      <c r="I592" s="68">
        <v>1067</v>
      </c>
      <c r="J592" s="68">
        <f t="shared" si="37"/>
        <v>0</v>
      </c>
      <c r="K592" s="68">
        <f t="shared" si="36"/>
        <v>0</v>
      </c>
      <c r="L592" s="100">
        <f t="shared" si="38"/>
        <v>-0.42486133646629831</v>
      </c>
      <c r="M592" s="68">
        <f t="shared" si="39"/>
        <v>10</v>
      </c>
    </row>
    <row r="593" spans="1:13">
      <c r="A593" s="100" t="str">
        <f>MID(Page012[[#This Row],[Column5]],SEARCH("(",Page012[[#This Row],[Column5]])+1,SEARCH(")",Page012[[#This Row],[Column5]])-SEARCH("(",Page012[[#This Row],[Column5]])-1)</f>
        <v>20.62</v>
      </c>
      <c r="B593" s="68" t="s">
        <v>498</v>
      </c>
      <c r="C593" s="68" t="s">
        <v>292</v>
      </c>
      <c r="D593" s="68" t="s">
        <v>292</v>
      </c>
      <c r="E593" s="68" t="s">
        <v>499</v>
      </c>
      <c r="F593" s="68" t="s">
        <v>421</v>
      </c>
      <c r="G593" s="68">
        <v>532</v>
      </c>
      <c r="H593" s="100" t="str">
        <f>MID(Page012[[#This Row],[Column4]],SEARCH("(",Page012[[#This Row],[Column4]])+1,SEARCH(")",Page012[[#This Row],[Column4]])-SEARCH("(",Page012[[#This Row],[Column4]])-1)</f>
        <v>1067</v>
      </c>
      <c r="I593" s="68">
        <v>1067</v>
      </c>
      <c r="J593" s="68">
        <f t="shared" si="37"/>
        <v>0</v>
      </c>
      <c r="K593" s="68">
        <f t="shared" si="36"/>
        <v>0</v>
      </c>
      <c r="L593" s="100">
        <f t="shared" si="38"/>
        <v>-0.42486133646629831</v>
      </c>
      <c r="M593" s="68">
        <f t="shared" si="39"/>
        <v>10</v>
      </c>
    </row>
    <row r="594" spans="1:13">
      <c r="A594" s="100" t="str">
        <f>MID(Page012[[#This Row],[Column5]],SEARCH("(",Page012[[#This Row],[Column5]])+1,SEARCH(")",Page012[[#This Row],[Column5]])-SEARCH("(",Page012[[#This Row],[Column5]])-1)</f>
        <v>22.23</v>
      </c>
      <c r="B594" s="68" t="s">
        <v>498</v>
      </c>
      <c r="C594" s="68" t="s">
        <v>292</v>
      </c>
      <c r="D594" s="68" t="s">
        <v>292</v>
      </c>
      <c r="E594" s="68" t="s">
        <v>499</v>
      </c>
      <c r="F594" s="68" t="s">
        <v>409</v>
      </c>
      <c r="G594" s="68">
        <v>572</v>
      </c>
      <c r="H594" s="100" t="str">
        <f>MID(Page012[[#This Row],[Column4]],SEARCH("(",Page012[[#This Row],[Column4]])+1,SEARCH(")",Page012[[#This Row],[Column4]])-SEARCH("(",Page012[[#This Row],[Column4]])-1)</f>
        <v>1067</v>
      </c>
      <c r="I594" s="68">
        <v>1067</v>
      </c>
      <c r="J594" s="68">
        <f t="shared" si="37"/>
        <v>0</v>
      </c>
      <c r="K594" s="68">
        <f t="shared" si="36"/>
        <v>0</v>
      </c>
      <c r="L594" s="100">
        <f t="shared" si="38"/>
        <v>-0.42486133646629831</v>
      </c>
      <c r="M594" s="68">
        <f t="shared" si="39"/>
        <v>10</v>
      </c>
    </row>
    <row r="595" spans="1:13">
      <c r="A595" s="100" t="str">
        <f>MID(Page012[[#This Row],[Column5]],SEARCH("(",Page012[[#This Row],[Column5]])+1,SEARCH(")",Page012[[#This Row],[Column5]])-SEARCH("(",Page012[[#This Row],[Column5]])-1)</f>
        <v>23.83</v>
      </c>
      <c r="B595" s="68" t="s">
        <v>498</v>
      </c>
      <c r="C595" s="68" t="s">
        <v>292</v>
      </c>
      <c r="D595" s="68" t="s">
        <v>292</v>
      </c>
      <c r="E595" s="68" t="s">
        <v>499</v>
      </c>
      <c r="F595" s="68" t="s">
        <v>431</v>
      </c>
      <c r="G595" s="68">
        <v>613.04999999999995</v>
      </c>
      <c r="H595" s="100" t="str">
        <f>MID(Page012[[#This Row],[Column4]],SEARCH("(",Page012[[#This Row],[Column4]])+1,SEARCH(")",Page012[[#This Row],[Column4]])-SEARCH("(",Page012[[#This Row],[Column4]])-1)</f>
        <v>1067</v>
      </c>
      <c r="I595" s="68">
        <v>1067</v>
      </c>
      <c r="J595" s="68">
        <f t="shared" si="37"/>
        <v>0</v>
      </c>
      <c r="K595" s="68">
        <f t="shared" si="36"/>
        <v>0</v>
      </c>
      <c r="L595" s="100">
        <f t="shared" si="38"/>
        <v>-0.42486133646629831</v>
      </c>
      <c r="M595" s="68">
        <f t="shared" si="39"/>
        <v>10</v>
      </c>
    </row>
    <row r="596" spans="1:13">
      <c r="A596" s="100" t="str">
        <f>MID(Page012[[#This Row],[Column5]],SEARCH("(",Page012[[#This Row],[Column5]])+1,SEARCH(")",Page012[[#This Row],[Column5]])-SEARCH("(",Page012[[#This Row],[Column5]])-1)</f>
        <v>25.40</v>
      </c>
      <c r="B596" s="68" t="s">
        <v>498</v>
      </c>
      <c r="C596" s="68" t="s">
        <v>292</v>
      </c>
      <c r="D596" s="68" t="s">
        <v>292</v>
      </c>
      <c r="E596" s="68" t="s">
        <v>499</v>
      </c>
      <c r="F596" s="68" t="s">
        <v>423</v>
      </c>
      <c r="G596" s="68">
        <v>652</v>
      </c>
      <c r="H596" s="100" t="str">
        <f>MID(Page012[[#This Row],[Column4]],SEARCH("(",Page012[[#This Row],[Column4]])+1,SEARCH(")",Page012[[#This Row],[Column4]])-SEARCH("(",Page012[[#This Row],[Column4]])-1)</f>
        <v>1067</v>
      </c>
      <c r="I596" s="68">
        <v>1067</v>
      </c>
      <c r="J596" s="68">
        <f t="shared" si="37"/>
        <v>0</v>
      </c>
      <c r="K596" s="68">
        <f t="shared" si="36"/>
        <v>0</v>
      </c>
      <c r="L596" s="100">
        <f t="shared" si="38"/>
        <v>-0.42486133646629831</v>
      </c>
      <c r="M596" s="68">
        <f t="shared" si="39"/>
        <v>10</v>
      </c>
    </row>
    <row r="597" spans="1:13">
      <c r="A597" s="100" t="str">
        <f>MID(Page012[[#This Row],[Column5]],SEARCH("(",Page012[[#This Row],[Column5]])+1,SEARCH(")",Page012[[#This Row],[Column5]])-SEARCH("(",Page012[[#This Row],[Column5]])-1)</f>
        <v>26.97</v>
      </c>
      <c r="B597" s="68" t="s">
        <v>498</v>
      </c>
      <c r="C597" s="68" t="s">
        <v>292</v>
      </c>
      <c r="D597" s="68" t="s">
        <v>292</v>
      </c>
      <c r="E597" s="68" t="s">
        <v>499</v>
      </c>
      <c r="F597" s="68" t="s">
        <v>439</v>
      </c>
      <c r="G597" s="68">
        <v>691</v>
      </c>
      <c r="H597" s="100" t="str">
        <f>MID(Page012[[#This Row],[Column4]],SEARCH("(",Page012[[#This Row],[Column4]])+1,SEARCH(")",Page012[[#This Row],[Column4]])-SEARCH("(",Page012[[#This Row],[Column4]])-1)</f>
        <v>1067</v>
      </c>
      <c r="I597" s="68">
        <v>1067</v>
      </c>
      <c r="J597" s="68">
        <f t="shared" si="37"/>
        <v>0</v>
      </c>
      <c r="K597" s="68">
        <f t="shared" si="36"/>
        <v>0</v>
      </c>
      <c r="L597" s="100">
        <f t="shared" si="38"/>
        <v>-0.42486133646629831</v>
      </c>
      <c r="M597" s="68">
        <f t="shared" si="39"/>
        <v>10</v>
      </c>
    </row>
    <row r="598" spans="1:13">
      <c r="A598" s="100" t="str">
        <f>MID(Page012[[#This Row],[Column5]],SEARCH("(",Page012[[#This Row],[Column5]])+1,SEARCH(")",Page012[[#This Row],[Column5]])-SEARCH("(",Page012[[#This Row],[Column5]])-1)</f>
        <v>28.58</v>
      </c>
      <c r="B598" s="68" t="s">
        <v>498</v>
      </c>
      <c r="C598" s="68" t="s">
        <v>292</v>
      </c>
      <c r="D598" s="68" t="s">
        <v>292</v>
      </c>
      <c r="E598" s="68" t="s">
        <v>499</v>
      </c>
      <c r="F598" s="68" t="s">
        <v>432</v>
      </c>
      <c r="G598" s="68">
        <v>731.91</v>
      </c>
      <c r="H598" s="100" t="str">
        <f>MID(Page012[[#This Row],[Column4]],SEARCH("(",Page012[[#This Row],[Column4]])+1,SEARCH(")",Page012[[#This Row],[Column4]])-SEARCH("(",Page012[[#This Row],[Column4]])-1)</f>
        <v>1067</v>
      </c>
      <c r="I598" s="68">
        <v>1067</v>
      </c>
      <c r="J598" s="68">
        <f t="shared" si="37"/>
        <v>0</v>
      </c>
      <c r="K598" s="68">
        <f t="shared" si="36"/>
        <v>0</v>
      </c>
      <c r="L598" s="100">
        <f t="shared" si="38"/>
        <v>-0.42486133646629831</v>
      </c>
      <c r="M598" s="68">
        <f t="shared" si="39"/>
        <v>10</v>
      </c>
    </row>
    <row r="599" spans="1:13">
      <c r="A599" s="100" t="str">
        <f>MID(Page012[[#This Row],[Column5]],SEARCH("(",Page012[[#This Row],[Column5]])+1,SEARCH(")",Page012[[#This Row],[Column5]])-SEARCH("(",Page012[[#This Row],[Column5]])-1)</f>
        <v>30.18</v>
      </c>
      <c r="B599" s="68" t="s">
        <v>498</v>
      </c>
      <c r="C599" s="68" t="s">
        <v>292</v>
      </c>
      <c r="D599" s="68" t="s">
        <v>292</v>
      </c>
      <c r="E599" s="68" t="s">
        <v>499</v>
      </c>
      <c r="F599" s="68" t="s">
        <v>455</v>
      </c>
      <c r="G599" s="68">
        <v>771</v>
      </c>
      <c r="H599" s="100" t="str">
        <f>MID(Page012[[#This Row],[Column4]],SEARCH("(",Page012[[#This Row],[Column4]])+1,SEARCH(")",Page012[[#This Row],[Column4]])-SEARCH("(",Page012[[#This Row],[Column4]])-1)</f>
        <v>1067</v>
      </c>
      <c r="I599" s="68">
        <v>1067</v>
      </c>
      <c r="J599" s="68">
        <f t="shared" si="37"/>
        <v>0</v>
      </c>
      <c r="K599" s="68">
        <f t="shared" si="36"/>
        <v>0</v>
      </c>
      <c r="L599" s="100">
        <f t="shared" si="38"/>
        <v>-0.42486133646629831</v>
      </c>
      <c r="M599" s="68">
        <f t="shared" si="39"/>
        <v>10</v>
      </c>
    </row>
    <row r="600" spans="1:13">
      <c r="A600" s="100" t="str">
        <f>MID(Page012[[#This Row],[Column5]],SEARCH("(",Page012[[#This Row],[Column5]])+1,SEARCH(")",Page012[[#This Row],[Column5]])-SEARCH("(",Page012[[#This Row],[Column5]])-1)</f>
        <v>31.75</v>
      </c>
      <c r="B600" s="68" t="s">
        <v>498</v>
      </c>
      <c r="C600" s="68" t="s">
        <v>292</v>
      </c>
      <c r="D600" s="68" t="s">
        <v>292</v>
      </c>
      <c r="E600" s="68" t="s">
        <v>499</v>
      </c>
      <c r="F600" s="68" t="s">
        <v>433</v>
      </c>
      <c r="G600" s="68">
        <v>810</v>
      </c>
      <c r="H600" s="100" t="str">
        <f>MID(Page012[[#This Row],[Column4]],SEARCH("(",Page012[[#This Row],[Column4]])+1,SEARCH(")",Page012[[#This Row],[Column4]])-SEARCH("(",Page012[[#This Row],[Column4]])-1)</f>
        <v>1067</v>
      </c>
      <c r="I600" s="68">
        <v>1067</v>
      </c>
      <c r="J600" s="68">
        <f t="shared" si="37"/>
        <v>0</v>
      </c>
      <c r="K600" s="68">
        <f t="shared" si="36"/>
        <v>0</v>
      </c>
      <c r="L600" s="100">
        <f t="shared" si="38"/>
        <v>-0.42486133646629831</v>
      </c>
      <c r="M600" s="68">
        <f t="shared" si="39"/>
        <v>10</v>
      </c>
    </row>
    <row r="601" spans="1:13">
      <c r="A601" s="100" t="str">
        <f>MID(Page012[[#This Row],[Column5]],SEARCH("(",Page012[[#This Row],[Column5]])+1,SEARCH(")",Page012[[#This Row],[Column5]])-SEARCH("(",Page012[[#This Row],[Column5]])-1)</f>
        <v>8.74</v>
      </c>
      <c r="B601" s="68" t="s">
        <v>500</v>
      </c>
      <c r="C601" s="68" t="s">
        <v>292</v>
      </c>
      <c r="D601" s="68" t="s">
        <v>292</v>
      </c>
      <c r="E601" s="68" t="s">
        <v>501</v>
      </c>
      <c r="F601" s="68" t="s">
        <v>367</v>
      </c>
      <c r="G601" s="68">
        <v>239</v>
      </c>
      <c r="H601" s="100" t="str">
        <f>MID(Page012[[#This Row],[Column4]],SEARCH("(",Page012[[#This Row],[Column4]])+1,SEARCH(")",Page012[[#This Row],[Column4]])-SEARCH("(",Page012[[#This Row],[Column4]])-1)</f>
        <v>1118</v>
      </c>
      <c r="I601" s="68">
        <v>1118</v>
      </c>
      <c r="J601" s="68">
        <f t="shared" si="37"/>
        <v>0</v>
      </c>
      <c r="K601" s="68">
        <f t="shared" si="36"/>
        <v>0</v>
      </c>
      <c r="L601" s="100">
        <f t="shared" si="38"/>
        <v>-0.42486133646629831</v>
      </c>
      <c r="M601" s="68">
        <f t="shared" si="39"/>
        <v>10</v>
      </c>
    </row>
    <row r="602" spans="1:13">
      <c r="A602" s="100" t="str">
        <f>MID(Page012[[#This Row],[Column5]],SEARCH("(",Page012[[#This Row],[Column5]])+1,SEARCH(")",Page012[[#This Row],[Column5]])-SEARCH("(",Page012[[#This Row],[Column5]])-1)</f>
        <v>9.53</v>
      </c>
      <c r="B602" s="68" t="s">
        <v>500</v>
      </c>
      <c r="C602" s="68" t="s">
        <v>300</v>
      </c>
      <c r="D602" s="68" t="s">
        <v>292</v>
      </c>
      <c r="E602" s="68" t="s">
        <v>501</v>
      </c>
      <c r="F602" s="68" t="s">
        <v>376</v>
      </c>
      <c r="G602" s="68">
        <v>260</v>
      </c>
      <c r="H602" s="100" t="str">
        <f>MID(Page012[[#This Row],[Column4]],SEARCH("(",Page012[[#This Row],[Column4]])+1,SEARCH(")",Page012[[#This Row],[Column4]])-SEARCH("(",Page012[[#This Row],[Column4]])-1)</f>
        <v>1118</v>
      </c>
      <c r="I602" s="68">
        <v>1118</v>
      </c>
      <c r="J602" s="68">
        <f t="shared" si="37"/>
        <v>0</v>
      </c>
      <c r="K602" s="68">
        <f t="shared" si="36"/>
        <v>0</v>
      </c>
      <c r="L602" s="100">
        <f t="shared" si="38"/>
        <v>-0.42486133646629831</v>
      </c>
      <c r="M602" s="68">
        <f t="shared" si="39"/>
        <v>10</v>
      </c>
    </row>
    <row r="603" spans="1:13">
      <c r="A603" s="100" t="str">
        <f>MID(Page012[[#This Row],[Column5]],SEARCH("(",Page012[[#This Row],[Column5]])+1,SEARCH(")",Page012[[#This Row],[Column5]])-SEARCH("(",Page012[[#This Row],[Column5]])-1)</f>
        <v>10.31</v>
      </c>
      <c r="B603" s="68" t="s">
        <v>500</v>
      </c>
      <c r="C603" s="68" t="s">
        <v>292</v>
      </c>
      <c r="D603" s="68" t="s">
        <v>292</v>
      </c>
      <c r="E603" s="68" t="s">
        <v>501</v>
      </c>
      <c r="F603" s="68" t="s">
        <v>417</v>
      </c>
      <c r="G603" s="68">
        <v>281</v>
      </c>
      <c r="H603" s="100" t="str">
        <f>MID(Page012[[#This Row],[Column4]],SEARCH("(",Page012[[#This Row],[Column4]])+1,SEARCH(")",Page012[[#This Row],[Column4]])-SEARCH("(",Page012[[#This Row],[Column4]])-1)</f>
        <v>1118</v>
      </c>
      <c r="I603" s="68">
        <v>1118</v>
      </c>
      <c r="J603" s="68">
        <f t="shared" si="37"/>
        <v>0</v>
      </c>
      <c r="K603" s="68">
        <f t="shared" si="36"/>
        <v>0</v>
      </c>
      <c r="L603" s="100">
        <f t="shared" si="38"/>
        <v>-0.42486133646629831</v>
      </c>
      <c r="M603" s="68">
        <f t="shared" si="39"/>
        <v>10</v>
      </c>
    </row>
    <row r="604" spans="1:13">
      <c r="A604" s="100" t="str">
        <f>MID(Page012[[#This Row],[Column5]],SEARCH("(",Page012[[#This Row],[Column5]])+1,SEARCH(")",Page012[[#This Row],[Column5]])-SEARCH("(",Page012[[#This Row],[Column5]])-1)</f>
        <v>11.13</v>
      </c>
      <c r="B604" s="68" t="s">
        <v>500</v>
      </c>
      <c r="C604" s="68" t="s">
        <v>292</v>
      </c>
      <c r="D604" s="68" t="s">
        <v>292</v>
      </c>
      <c r="E604" s="68" t="s">
        <v>501</v>
      </c>
      <c r="F604" s="68" t="s">
        <v>381</v>
      </c>
      <c r="G604" s="68">
        <v>303</v>
      </c>
      <c r="H604" s="100" t="str">
        <f>MID(Page012[[#This Row],[Column4]],SEARCH("(",Page012[[#This Row],[Column4]])+1,SEARCH(")",Page012[[#This Row],[Column4]])-SEARCH("(",Page012[[#This Row],[Column4]])-1)</f>
        <v>1118</v>
      </c>
      <c r="I604" s="68">
        <v>1118</v>
      </c>
      <c r="J604" s="68">
        <f t="shared" si="37"/>
        <v>0</v>
      </c>
      <c r="K604" s="68">
        <f t="shared" si="36"/>
        <v>0</v>
      </c>
      <c r="L604" s="100">
        <f t="shared" si="38"/>
        <v>-0.42486133646629831</v>
      </c>
      <c r="M604" s="68">
        <f t="shared" si="39"/>
        <v>10</v>
      </c>
    </row>
    <row r="605" spans="1:13">
      <c r="A605" s="100" t="str">
        <f>MID(Page012[[#This Row],[Column5]],SEARCH("(",Page012[[#This Row],[Column5]])+1,SEARCH(")",Page012[[#This Row],[Column5]])-SEARCH("(",Page012[[#This Row],[Column5]])-1)</f>
        <v>11.91</v>
      </c>
      <c r="B605" s="68" t="s">
        <v>500</v>
      </c>
      <c r="C605" s="68" t="s">
        <v>292</v>
      </c>
      <c r="D605" s="68" t="s">
        <v>292</v>
      </c>
      <c r="E605" s="68" t="s">
        <v>501</v>
      </c>
      <c r="F605" s="68" t="s">
        <v>444</v>
      </c>
      <c r="G605" s="68">
        <v>324</v>
      </c>
      <c r="H605" s="100" t="str">
        <f>MID(Page012[[#This Row],[Column4]],SEARCH("(",Page012[[#This Row],[Column4]])+1,SEARCH(")",Page012[[#This Row],[Column4]])-SEARCH("(",Page012[[#This Row],[Column4]])-1)</f>
        <v>1118</v>
      </c>
      <c r="I605" s="68">
        <v>1118</v>
      </c>
      <c r="J605" s="68">
        <f t="shared" si="37"/>
        <v>0</v>
      </c>
      <c r="K605" s="68">
        <f t="shared" si="36"/>
        <v>0</v>
      </c>
      <c r="L605" s="100">
        <f t="shared" si="38"/>
        <v>-0.42486133646629831</v>
      </c>
      <c r="M605" s="68">
        <f t="shared" si="39"/>
        <v>10</v>
      </c>
    </row>
    <row r="606" spans="1:13">
      <c r="A606" s="100" t="str">
        <f>MID(Page012[[#This Row],[Column5]],SEARCH("(",Page012[[#This Row],[Column5]])+1,SEARCH(")",Page012[[#This Row],[Column5]])-SEARCH("(",Page012[[#This Row],[Column5]])-1)</f>
        <v>12.70</v>
      </c>
      <c r="B606" s="68" t="s">
        <v>500</v>
      </c>
      <c r="C606" s="68" t="s">
        <v>303</v>
      </c>
      <c r="D606" s="68" t="s">
        <v>292</v>
      </c>
      <c r="E606" s="68" t="s">
        <v>501</v>
      </c>
      <c r="F606" s="68" t="s">
        <v>399</v>
      </c>
      <c r="G606" s="68">
        <v>346</v>
      </c>
      <c r="H606" s="100" t="str">
        <f>MID(Page012[[#This Row],[Column4]],SEARCH("(",Page012[[#This Row],[Column4]])+1,SEARCH(")",Page012[[#This Row],[Column4]])-SEARCH("(",Page012[[#This Row],[Column4]])-1)</f>
        <v>1118</v>
      </c>
      <c r="I606" s="68">
        <v>1118</v>
      </c>
      <c r="J606" s="68">
        <f t="shared" si="37"/>
        <v>0</v>
      </c>
      <c r="K606" s="68">
        <f t="shared" si="36"/>
        <v>0</v>
      </c>
      <c r="L606" s="100">
        <f t="shared" si="38"/>
        <v>-0.42486133646629831</v>
      </c>
      <c r="M606" s="68">
        <f t="shared" si="39"/>
        <v>10</v>
      </c>
    </row>
    <row r="607" spans="1:13">
      <c r="A607" s="100" t="str">
        <f>MID(Page012[[#This Row],[Column5]],SEARCH("(",Page012[[#This Row],[Column5]])+1,SEARCH(")",Page012[[#This Row],[Column5]])-SEARCH("(",Page012[[#This Row],[Column5]])-1)</f>
        <v>14.27</v>
      </c>
      <c r="B607" s="68" t="s">
        <v>500</v>
      </c>
      <c r="C607" s="68" t="s">
        <v>292</v>
      </c>
      <c r="D607" s="68" t="s">
        <v>292</v>
      </c>
      <c r="E607" s="68" t="s">
        <v>501</v>
      </c>
      <c r="F607" s="68" t="s">
        <v>406</v>
      </c>
      <c r="G607" s="68">
        <v>388</v>
      </c>
      <c r="H607" s="100" t="str">
        <f>MID(Page012[[#This Row],[Column4]],SEARCH("(",Page012[[#This Row],[Column4]])+1,SEARCH(")",Page012[[#This Row],[Column4]])-SEARCH("(",Page012[[#This Row],[Column4]])-1)</f>
        <v>1118</v>
      </c>
      <c r="I607" s="68">
        <v>1118</v>
      </c>
      <c r="J607" s="68">
        <f t="shared" si="37"/>
        <v>0</v>
      </c>
      <c r="K607" s="68">
        <f t="shared" si="36"/>
        <v>0</v>
      </c>
      <c r="L607" s="100">
        <f t="shared" si="38"/>
        <v>-0.42486133646629831</v>
      </c>
      <c r="M607" s="68">
        <f t="shared" si="39"/>
        <v>10</v>
      </c>
    </row>
    <row r="608" spans="1:13">
      <c r="A608" s="100" t="str">
        <f>MID(Page012[[#This Row],[Column5]],SEARCH("(",Page012[[#This Row],[Column5]])+1,SEARCH(")",Page012[[#This Row],[Column5]])-SEARCH("(",Page012[[#This Row],[Column5]])-1)</f>
        <v>15.88</v>
      </c>
      <c r="B608" s="68" t="s">
        <v>500</v>
      </c>
      <c r="C608" s="68" t="s">
        <v>292</v>
      </c>
      <c r="D608" s="68" t="s">
        <v>292</v>
      </c>
      <c r="E608" s="68" t="s">
        <v>501</v>
      </c>
      <c r="F608" s="68" t="s">
        <v>400</v>
      </c>
      <c r="G608" s="68">
        <v>431</v>
      </c>
      <c r="H608" s="100" t="str">
        <f>MID(Page012[[#This Row],[Column4]],SEARCH("(",Page012[[#This Row],[Column4]])+1,SEARCH(")",Page012[[#This Row],[Column4]])-SEARCH("(",Page012[[#This Row],[Column4]])-1)</f>
        <v>1118</v>
      </c>
      <c r="I608" s="68">
        <v>1118</v>
      </c>
      <c r="J608" s="68">
        <f t="shared" si="37"/>
        <v>0</v>
      </c>
      <c r="K608" s="68">
        <f t="shared" si="36"/>
        <v>0</v>
      </c>
      <c r="L608" s="100">
        <f t="shared" si="38"/>
        <v>-0.42486133646629831</v>
      </c>
      <c r="M608" s="68">
        <f t="shared" si="39"/>
        <v>10</v>
      </c>
    </row>
    <row r="609" spans="1:13">
      <c r="A609" s="100" t="str">
        <f>MID(Page012[[#This Row],[Column5]],SEARCH("(",Page012[[#This Row],[Column5]])+1,SEARCH(")",Page012[[#This Row],[Column5]])-SEARCH("(",Page012[[#This Row],[Column5]])-1)</f>
        <v>17.48</v>
      </c>
      <c r="B609" s="68" t="s">
        <v>500</v>
      </c>
      <c r="C609" s="68" t="s">
        <v>292</v>
      </c>
      <c r="D609" s="68" t="s">
        <v>292</v>
      </c>
      <c r="E609" s="68" t="s">
        <v>501</v>
      </c>
      <c r="F609" s="68" t="s">
        <v>438</v>
      </c>
      <c r="G609" s="68">
        <v>474</v>
      </c>
      <c r="H609" s="100" t="str">
        <f>MID(Page012[[#This Row],[Column4]],SEARCH("(",Page012[[#This Row],[Column4]])+1,SEARCH(")",Page012[[#This Row],[Column4]])-SEARCH("(",Page012[[#This Row],[Column4]])-1)</f>
        <v>1118</v>
      </c>
      <c r="I609" s="68">
        <v>1118</v>
      </c>
      <c r="J609" s="68">
        <f t="shared" si="37"/>
        <v>0</v>
      </c>
      <c r="K609" s="68">
        <f t="shared" si="36"/>
        <v>0</v>
      </c>
      <c r="L609" s="100">
        <f t="shared" si="38"/>
        <v>-0.42486133646629831</v>
      </c>
      <c r="M609" s="68">
        <f t="shared" si="39"/>
        <v>10</v>
      </c>
    </row>
    <row r="610" spans="1:13">
      <c r="A610" s="100" t="str">
        <f>MID(Page012[[#This Row],[Column5]],SEARCH("(",Page012[[#This Row],[Column5]])+1,SEARCH(")",Page012[[#This Row],[Column5]])-SEARCH("(",Page012[[#This Row],[Column5]])-1)</f>
        <v>19.05</v>
      </c>
      <c r="B610" s="68" t="s">
        <v>500</v>
      </c>
      <c r="C610" s="68" t="s">
        <v>292</v>
      </c>
      <c r="D610" s="68" t="s">
        <v>292</v>
      </c>
      <c r="E610" s="68" t="s">
        <v>501</v>
      </c>
      <c r="F610" s="68" t="s">
        <v>401</v>
      </c>
      <c r="G610" s="68">
        <v>516</v>
      </c>
      <c r="H610" s="100" t="str">
        <f>MID(Page012[[#This Row],[Column4]],SEARCH("(",Page012[[#This Row],[Column4]])+1,SEARCH(")",Page012[[#This Row],[Column4]])-SEARCH("(",Page012[[#This Row],[Column4]])-1)</f>
        <v>1118</v>
      </c>
      <c r="I610" s="68">
        <v>1118</v>
      </c>
      <c r="J610" s="68">
        <f t="shared" si="37"/>
        <v>0</v>
      </c>
      <c r="K610" s="68">
        <f t="shared" si="36"/>
        <v>0</v>
      </c>
      <c r="L610" s="100">
        <f t="shared" si="38"/>
        <v>-0.42486133646629831</v>
      </c>
      <c r="M610" s="68">
        <f t="shared" si="39"/>
        <v>10</v>
      </c>
    </row>
    <row r="611" spans="1:13">
      <c r="A611" s="100" t="str">
        <f>MID(Page012[[#This Row],[Column5]],SEARCH("(",Page012[[#This Row],[Column5]])+1,SEARCH(")",Page012[[#This Row],[Column5]])-SEARCH("(",Page012[[#This Row],[Column5]])-1)</f>
        <v>20.62</v>
      </c>
      <c r="B611" s="68" t="s">
        <v>500</v>
      </c>
      <c r="C611" s="68" t="s">
        <v>292</v>
      </c>
      <c r="D611" s="68" t="s">
        <v>292</v>
      </c>
      <c r="E611" s="68" t="s">
        <v>501</v>
      </c>
      <c r="F611" s="68" t="s">
        <v>421</v>
      </c>
      <c r="G611" s="68">
        <v>558</v>
      </c>
      <c r="H611" s="100" t="str">
        <f>MID(Page012[[#This Row],[Column4]],SEARCH("(",Page012[[#This Row],[Column4]])+1,SEARCH(")",Page012[[#This Row],[Column4]])-SEARCH("(",Page012[[#This Row],[Column4]])-1)</f>
        <v>1118</v>
      </c>
      <c r="I611" s="68">
        <v>1118</v>
      </c>
      <c r="J611" s="68">
        <f t="shared" si="37"/>
        <v>0</v>
      </c>
      <c r="K611" s="68">
        <f t="shared" si="36"/>
        <v>0</v>
      </c>
      <c r="L611" s="100">
        <f t="shared" si="38"/>
        <v>-0.42486133646629831</v>
      </c>
      <c r="M611" s="68">
        <f t="shared" si="39"/>
        <v>10</v>
      </c>
    </row>
    <row r="612" spans="1:13">
      <c r="A612" s="100" t="str">
        <f>MID(Page012[[#This Row],[Column5]],SEARCH("(",Page012[[#This Row],[Column5]])+1,SEARCH(")",Page012[[#This Row],[Column5]])-SEARCH("(",Page012[[#This Row],[Column5]])-1)</f>
        <v>22.23</v>
      </c>
      <c r="B612" s="68" t="s">
        <v>500</v>
      </c>
      <c r="C612" s="68" t="s">
        <v>292</v>
      </c>
      <c r="D612" s="68" t="s">
        <v>292</v>
      </c>
      <c r="E612" s="68" t="s">
        <v>501</v>
      </c>
      <c r="F612" s="68" t="s">
        <v>409</v>
      </c>
      <c r="G612" s="68">
        <v>600.73</v>
      </c>
      <c r="H612" s="100" t="str">
        <f>MID(Page012[[#This Row],[Column4]],SEARCH("(",Page012[[#This Row],[Column4]])+1,SEARCH(")",Page012[[#This Row],[Column4]])-SEARCH("(",Page012[[#This Row],[Column4]])-1)</f>
        <v>1118</v>
      </c>
      <c r="I612" s="68">
        <v>1118</v>
      </c>
      <c r="J612" s="68">
        <f t="shared" si="37"/>
        <v>0</v>
      </c>
      <c r="K612" s="68">
        <f t="shared" si="36"/>
        <v>0</v>
      </c>
      <c r="L612" s="100">
        <f t="shared" si="38"/>
        <v>-0.42486133646629831</v>
      </c>
      <c r="M612" s="68">
        <f t="shared" si="39"/>
        <v>10</v>
      </c>
    </row>
    <row r="613" spans="1:13">
      <c r="A613" s="100" t="str">
        <f>MID(Page012[[#This Row],[Column5]],SEARCH("(",Page012[[#This Row],[Column5]])+1,SEARCH(")",Page012[[#This Row],[Column5]])-SEARCH("(",Page012[[#This Row],[Column5]])-1)</f>
        <v>23.83</v>
      </c>
      <c r="B613" s="68" t="s">
        <v>500</v>
      </c>
      <c r="C613" s="68" t="s">
        <v>292</v>
      </c>
      <c r="D613" s="68" t="s">
        <v>292</v>
      </c>
      <c r="E613" s="68" t="s">
        <v>501</v>
      </c>
      <c r="F613" s="68" t="s">
        <v>431</v>
      </c>
      <c r="G613" s="68">
        <v>643</v>
      </c>
      <c r="H613" s="100" t="str">
        <f>MID(Page012[[#This Row],[Column4]],SEARCH("(",Page012[[#This Row],[Column4]])+1,SEARCH(")",Page012[[#This Row],[Column4]])-SEARCH("(",Page012[[#This Row],[Column4]])-1)</f>
        <v>1118</v>
      </c>
      <c r="I613" s="68">
        <v>1118</v>
      </c>
      <c r="J613" s="68">
        <f t="shared" si="37"/>
        <v>0</v>
      </c>
      <c r="K613" s="68">
        <f t="shared" si="36"/>
        <v>0</v>
      </c>
      <c r="L613" s="100">
        <f t="shared" si="38"/>
        <v>-0.42486133646629831</v>
      </c>
      <c r="M613" s="68">
        <f t="shared" si="39"/>
        <v>10</v>
      </c>
    </row>
    <row r="614" spans="1:13">
      <c r="A614" s="100" t="str">
        <f>MID(Page012[[#This Row],[Column5]],SEARCH("(",Page012[[#This Row],[Column5]])+1,SEARCH(")",Page012[[#This Row],[Column5]])-SEARCH("(",Page012[[#This Row],[Column5]])-1)</f>
        <v>25.40</v>
      </c>
      <c r="B614" s="68" t="s">
        <v>500</v>
      </c>
      <c r="C614" s="68" t="s">
        <v>292</v>
      </c>
      <c r="D614" s="68" t="s">
        <v>292</v>
      </c>
      <c r="E614" s="68" t="s">
        <v>501</v>
      </c>
      <c r="F614" s="68" t="s">
        <v>423</v>
      </c>
      <c r="G614" s="68">
        <v>684</v>
      </c>
      <c r="H614" s="100" t="str">
        <f>MID(Page012[[#This Row],[Column4]],SEARCH("(",Page012[[#This Row],[Column4]])+1,SEARCH(")",Page012[[#This Row],[Column4]])-SEARCH("(",Page012[[#This Row],[Column4]])-1)</f>
        <v>1118</v>
      </c>
      <c r="I614" s="68">
        <v>1118</v>
      </c>
      <c r="J614" s="68">
        <f t="shared" si="37"/>
        <v>0</v>
      </c>
      <c r="K614" s="68">
        <f t="shared" si="36"/>
        <v>0</v>
      </c>
      <c r="L614" s="100">
        <f t="shared" si="38"/>
        <v>-0.42486133646629831</v>
      </c>
      <c r="M614" s="68">
        <f t="shared" si="39"/>
        <v>10</v>
      </c>
    </row>
    <row r="615" spans="1:13">
      <c r="A615" s="100" t="str">
        <f>MID(Page012[[#This Row],[Column5]],SEARCH("(",Page012[[#This Row],[Column5]])+1,SEARCH(")",Page012[[#This Row],[Column5]])-SEARCH("(",Page012[[#This Row],[Column5]])-1)</f>
        <v>26.97</v>
      </c>
      <c r="B615" s="68" t="s">
        <v>500</v>
      </c>
      <c r="C615" s="68" t="s">
        <v>292</v>
      </c>
      <c r="D615" s="68" t="s">
        <v>292</v>
      </c>
      <c r="E615" s="68" t="s">
        <v>501</v>
      </c>
      <c r="F615" s="68" t="s">
        <v>439</v>
      </c>
      <c r="G615" s="68">
        <v>725</v>
      </c>
      <c r="H615" s="100" t="str">
        <f>MID(Page012[[#This Row],[Column4]],SEARCH("(",Page012[[#This Row],[Column4]])+1,SEARCH(")",Page012[[#This Row],[Column4]])-SEARCH("(",Page012[[#This Row],[Column4]])-1)</f>
        <v>1118</v>
      </c>
      <c r="I615" s="68">
        <v>1118</v>
      </c>
      <c r="J615" s="68">
        <f t="shared" si="37"/>
        <v>0</v>
      </c>
      <c r="K615" s="68">
        <f t="shared" si="36"/>
        <v>0</v>
      </c>
      <c r="L615" s="100">
        <f t="shared" si="38"/>
        <v>-0.42486133646629831</v>
      </c>
      <c r="M615" s="68">
        <f t="shared" si="39"/>
        <v>10</v>
      </c>
    </row>
    <row r="616" spans="1:13">
      <c r="A616" s="100" t="str">
        <f>MID(Page012[[#This Row],[Column5]],SEARCH("(",Page012[[#This Row],[Column5]])+1,SEARCH(")",Page012[[#This Row],[Column5]])-SEARCH("(",Page012[[#This Row],[Column5]])-1)</f>
        <v>28.58</v>
      </c>
      <c r="B616" s="68" t="s">
        <v>500</v>
      </c>
      <c r="C616" s="68" t="s">
        <v>292</v>
      </c>
      <c r="D616" s="68" t="s">
        <v>292</v>
      </c>
      <c r="E616" s="68" t="s">
        <v>501</v>
      </c>
      <c r="F616" s="68" t="s">
        <v>432</v>
      </c>
      <c r="G616" s="68">
        <v>767</v>
      </c>
      <c r="H616" s="100" t="str">
        <f>MID(Page012[[#This Row],[Column4]],SEARCH("(",Page012[[#This Row],[Column4]])+1,SEARCH(")",Page012[[#This Row],[Column4]])-SEARCH("(",Page012[[#This Row],[Column4]])-1)</f>
        <v>1118</v>
      </c>
      <c r="I616" s="68">
        <v>1118</v>
      </c>
      <c r="J616" s="68">
        <f t="shared" si="37"/>
        <v>0</v>
      </c>
      <c r="K616" s="68">
        <f t="shared" si="36"/>
        <v>0</v>
      </c>
      <c r="L616" s="100">
        <f t="shared" si="38"/>
        <v>-0.42486133646629831</v>
      </c>
      <c r="M616" s="68">
        <f t="shared" si="39"/>
        <v>10</v>
      </c>
    </row>
    <row r="617" spans="1:13">
      <c r="A617" s="100" t="str">
        <f>MID(Page012[[#This Row],[Column5]],SEARCH("(",Page012[[#This Row],[Column5]])+1,SEARCH(")",Page012[[#This Row],[Column5]])-SEARCH("(",Page012[[#This Row],[Column5]])-1)</f>
        <v>30.18</v>
      </c>
      <c r="B617" s="68" t="s">
        <v>500</v>
      </c>
      <c r="C617" s="68" t="s">
        <v>292</v>
      </c>
      <c r="D617" s="68" t="s">
        <v>292</v>
      </c>
      <c r="E617" s="68" t="s">
        <v>501</v>
      </c>
      <c r="F617" s="68" t="s">
        <v>455</v>
      </c>
      <c r="G617" s="68">
        <v>809.56</v>
      </c>
      <c r="H617" s="100" t="str">
        <f>MID(Page012[[#This Row],[Column4]],SEARCH("(",Page012[[#This Row],[Column4]])+1,SEARCH(")",Page012[[#This Row],[Column4]])-SEARCH("(",Page012[[#This Row],[Column4]])-1)</f>
        <v>1118</v>
      </c>
      <c r="I617" s="68">
        <v>1118</v>
      </c>
      <c r="J617" s="68">
        <f t="shared" si="37"/>
        <v>0</v>
      </c>
      <c r="K617" s="68">
        <f t="shared" si="36"/>
        <v>0</v>
      </c>
      <c r="L617" s="100">
        <f t="shared" si="38"/>
        <v>-0.42486133646629831</v>
      </c>
      <c r="M617" s="68">
        <f t="shared" si="39"/>
        <v>10</v>
      </c>
    </row>
    <row r="618" spans="1:13">
      <c r="A618" s="100" t="str">
        <f>MID(Page012[[#This Row],[Column5]],SEARCH("(",Page012[[#This Row],[Column5]])+1,SEARCH(")",Page012[[#This Row],[Column5]])-SEARCH("(",Page012[[#This Row],[Column5]])-1)</f>
        <v>31.75</v>
      </c>
      <c r="B618" s="68" t="s">
        <v>500</v>
      </c>
      <c r="C618" s="68" t="s">
        <v>292</v>
      </c>
      <c r="D618" s="68" t="s">
        <v>292</v>
      </c>
      <c r="E618" s="68" t="s">
        <v>501</v>
      </c>
      <c r="F618" s="68" t="s">
        <v>433</v>
      </c>
      <c r="G618" s="68">
        <v>850</v>
      </c>
      <c r="H618" s="100" t="str">
        <f>MID(Page012[[#This Row],[Column4]],SEARCH("(",Page012[[#This Row],[Column4]])+1,SEARCH(")",Page012[[#This Row],[Column4]])-SEARCH("(",Page012[[#This Row],[Column4]])-1)</f>
        <v>1118</v>
      </c>
      <c r="I618" s="68">
        <v>1118</v>
      </c>
      <c r="J618" s="68">
        <f t="shared" si="37"/>
        <v>0</v>
      </c>
      <c r="K618" s="68">
        <f t="shared" si="36"/>
        <v>0</v>
      </c>
      <c r="L618" s="100">
        <f t="shared" si="38"/>
        <v>-0.42486133646629831</v>
      </c>
      <c r="M618" s="68">
        <f t="shared" si="39"/>
        <v>10</v>
      </c>
    </row>
    <row r="619" spans="1:13">
      <c r="A619" s="100" t="str">
        <f>MID(Page012[[#This Row],[Column5]],SEARCH("(",Page012[[#This Row],[Column5]])+1,SEARCH(")",Page012[[#This Row],[Column5]])-SEARCH("(",Page012[[#This Row],[Column5]])-1)</f>
        <v>8.74</v>
      </c>
      <c r="B619" s="68" t="s">
        <v>502</v>
      </c>
      <c r="C619" s="68" t="s">
        <v>292</v>
      </c>
      <c r="D619" s="68" t="s">
        <v>292</v>
      </c>
      <c r="E619" s="68" t="s">
        <v>503</v>
      </c>
      <c r="F619" s="68" t="s">
        <v>367</v>
      </c>
      <c r="G619" s="68">
        <v>249</v>
      </c>
      <c r="H619" s="100" t="str">
        <f>MID(Page012[[#This Row],[Column4]],SEARCH("(",Page012[[#This Row],[Column4]])+1,SEARCH(")",Page012[[#This Row],[Column4]])-SEARCH("(",Page012[[#This Row],[Column4]])-1)</f>
        <v>1168</v>
      </c>
      <c r="I619" s="68">
        <v>1168</v>
      </c>
      <c r="J619" s="68">
        <f t="shared" si="37"/>
        <v>0</v>
      </c>
      <c r="K619" s="68">
        <f t="shared" si="36"/>
        <v>0</v>
      </c>
      <c r="L619" s="100">
        <f t="shared" si="38"/>
        <v>-0.42486133646629831</v>
      </c>
      <c r="M619" s="68">
        <f t="shared" si="39"/>
        <v>10</v>
      </c>
    </row>
    <row r="620" spans="1:13">
      <c r="A620" s="100" t="str">
        <f>MID(Page012[[#This Row],[Column5]],SEARCH("(",Page012[[#This Row],[Column5]])+1,SEARCH(")",Page012[[#This Row],[Column5]])-SEARCH("(",Page012[[#This Row],[Column5]])-1)</f>
        <v>9.53</v>
      </c>
      <c r="B620" s="68" t="s">
        <v>502</v>
      </c>
      <c r="C620" s="68" t="s">
        <v>300</v>
      </c>
      <c r="D620" s="68" t="s">
        <v>292</v>
      </c>
      <c r="E620" s="68" t="s">
        <v>503</v>
      </c>
      <c r="F620" s="68" t="s">
        <v>376</v>
      </c>
      <c r="G620" s="68">
        <v>272</v>
      </c>
      <c r="H620" s="100" t="str">
        <f>MID(Page012[[#This Row],[Column4]],SEARCH("(",Page012[[#This Row],[Column4]])+1,SEARCH(")",Page012[[#This Row],[Column4]])-SEARCH("(",Page012[[#This Row],[Column4]])-1)</f>
        <v>1168</v>
      </c>
      <c r="I620" s="68">
        <v>1168</v>
      </c>
      <c r="J620" s="68">
        <f t="shared" si="37"/>
        <v>0</v>
      </c>
      <c r="K620" s="68">
        <f t="shared" si="36"/>
        <v>0</v>
      </c>
      <c r="L620" s="100">
        <f t="shared" si="38"/>
        <v>-0.42486133646629831</v>
      </c>
      <c r="M620" s="68">
        <f t="shared" si="39"/>
        <v>10</v>
      </c>
    </row>
    <row r="621" spans="1:13">
      <c r="A621" s="100" t="str">
        <f>MID(Page012[[#This Row],[Column5]],SEARCH("(",Page012[[#This Row],[Column5]])+1,SEARCH(")",Page012[[#This Row],[Column5]])-SEARCH("(",Page012[[#This Row],[Column5]])-1)</f>
        <v>10.31</v>
      </c>
      <c r="B621" s="68" t="s">
        <v>502</v>
      </c>
      <c r="C621" s="68" t="s">
        <v>292</v>
      </c>
      <c r="D621" s="68" t="s">
        <v>292</v>
      </c>
      <c r="E621" s="68" t="s">
        <v>503</v>
      </c>
      <c r="F621" s="68" t="s">
        <v>417</v>
      </c>
      <c r="G621" s="68">
        <v>294.52999999999997</v>
      </c>
      <c r="H621" s="100" t="str">
        <f>MID(Page012[[#This Row],[Column4]],SEARCH("(",Page012[[#This Row],[Column4]])+1,SEARCH(")",Page012[[#This Row],[Column4]])-SEARCH("(",Page012[[#This Row],[Column4]])-1)</f>
        <v>1168</v>
      </c>
      <c r="I621" s="68">
        <v>1168</v>
      </c>
      <c r="J621" s="68">
        <f t="shared" si="37"/>
        <v>0</v>
      </c>
      <c r="K621" s="68">
        <f t="shared" si="36"/>
        <v>0</v>
      </c>
      <c r="L621" s="100">
        <f t="shared" si="38"/>
        <v>-0.42486133646629831</v>
      </c>
      <c r="M621" s="68">
        <f t="shared" si="39"/>
        <v>10</v>
      </c>
    </row>
    <row r="622" spans="1:13">
      <c r="A622" s="100" t="str">
        <f>MID(Page012[[#This Row],[Column5]],SEARCH("(",Page012[[#This Row],[Column5]])+1,SEARCH(")",Page012[[#This Row],[Column5]])-SEARCH("(",Page012[[#This Row],[Column5]])-1)</f>
        <v>11.13</v>
      </c>
      <c r="B622" s="68" t="s">
        <v>502</v>
      </c>
      <c r="C622" s="68" t="s">
        <v>292</v>
      </c>
      <c r="D622" s="68" t="s">
        <v>292</v>
      </c>
      <c r="E622" s="68" t="s">
        <v>503</v>
      </c>
      <c r="F622" s="68" t="s">
        <v>381</v>
      </c>
      <c r="G622" s="68">
        <v>317</v>
      </c>
      <c r="H622" s="100" t="str">
        <f>MID(Page012[[#This Row],[Column4]],SEARCH("(",Page012[[#This Row],[Column4]])+1,SEARCH(")",Page012[[#This Row],[Column4]])-SEARCH("(",Page012[[#This Row],[Column4]])-1)</f>
        <v>1168</v>
      </c>
      <c r="I622" s="68">
        <v>1168</v>
      </c>
      <c r="J622" s="68">
        <f t="shared" si="37"/>
        <v>0</v>
      </c>
      <c r="K622" s="68">
        <f t="shared" si="36"/>
        <v>0</v>
      </c>
      <c r="L622" s="100">
        <f t="shared" si="38"/>
        <v>-0.42486133646629831</v>
      </c>
      <c r="M622" s="68">
        <f t="shared" si="39"/>
        <v>10</v>
      </c>
    </row>
    <row r="623" spans="1:13">
      <c r="A623" s="100" t="str">
        <f>MID(Page012[[#This Row],[Column5]],SEARCH("(",Page012[[#This Row],[Column5]])+1,SEARCH(")",Page012[[#This Row],[Column5]])-SEARCH("(",Page012[[#This Row],[Column5]])-1)</f>
        <v>11.91</v>
      </c>
      <c r="B623" s="68" t="s">
        <v>502</v>
      </c>
      <c r="C623" s="68" t="s">
        <v>292</v>
      </c>
      <c r="D623" s="68" t="s">
        <v>292</v>
      </c>
      <c r="E623" s="68" t="s">
        <v>503</v>
      </c>
      <c r="F623" s="68" t="s">
        <v>444</v>
      </c>
      <c r="G623" s="68">
        <v>339</v>
      </c>
      <c r="H623" s="100" t="str">
        <f>MID(Page012[[#This Row],[Column4]],SEARCH("(",Page012[[#This Row],[Column4]])+1,SEARCH(")",Page012[[#This Row],[Column4]])-SEARCH("(",Page012[[#This Row],[Column4]])-1)</f>
        <v>1168</v>
      </c>
      <c r="I623" s="68">
        <v>1168</v>
      </c>
      <c r="J623" s="68">
        <f t="shared" si="37"/>
        <v>0</v>
      </c>
      <c r="K623" s="68">
        <f t="shared" si="36"/>
        <v>0</v>
      </c>
      <c r="L623" s="100">
        <f t="shared" si="38"/>
        <v>-0.42486133646629831</v>
      </c>
      <c r="M623" s="68">
        <f t="shared" si="39"/>
        <v>10</v>
      </c>
    </row>
    <row r="624" spans="1:13">
      <c r="A624" s="100" t="str">
        <f>MID(Page012[[#This Row],[Column5]],SEARCH("(",Page012[[#This Row],[Column5]])+1,SEARCH(")",Page012[[#This Row],[Column5]])-SEARCH("(",Page012[[#This Row],[Column5]])-1)</f>
        <v>12.70</v>
      </c>
      <c r="B624" s="68" t="s">
        <v>502</v>
      </c>
      <c r="C624" s="68" t="s">
        <v>303</v>
      </c>
      <c r="D624" s="68" t="s">
        <v>292</v>
      </c>
      <c r="E624" s="68" t="s">
        <v>503</v>
      </c>
      <c r="F624" s="68" t="s">
        <v>399</v>
      </c>
      <c r="G624" s="68">
        <v>361</v>
      </c>
      <c r="H624" s="100" t="str">
        <f>MID(Page012[[#This Row],[Column4]],SEARCH("(",Page012[[#This Row],[Column4]])+1,SEARCH(")",Page012[[#This Row],[Column4]])-SEARCH("(",Page012[[#This Row],[Column4]])-1)</f>
        <v>1168</v>
      </c>
      <c r="I624" s="68">
        <v>1168</v>
      </c>
      <c r="J624" s="68">
        <f t="shared" si="37"/>
        <v>0</v>
      </c>
      <c r="K624" s="68">
        <f t="shared" si="36"/>
        <v>0</v>
      </c>
      <c r="L624" s="100">
        <f t="shared" si="38"/>
        <v>-0.42486133646629831</v>
      </c>
      <c r="M624" s="68">
        <f t="shared" si="39"/>
        <v>10</v>
      </c>
    </row>
    <row r="625" spans="1:13">
      <c r="A625" s="100" t="str">
        <f>MID(Page012[[#This Row],[Column5]],SEARCH("(",Page012[[#This Row],[Column5]])+1,SEARCH(")",Page012[[#This Row],[Column5]])-SEARCH("(",Page012[[#This Row],[Column5]])-1)</f>
        <v>14.27</v>
      </c>
      <c r="B625" s="68" t="s">
        <v>502</v>
      </c>
      <c r="C625" s="68" t="s">
        <v>292</v>
      </c>
      <c r="D625" s="68" t="s">
        <v>292</v>
      </c>
      <c r="E625" s="68" t="s">
        <v>503</v>
      </c>
      <c r="F625" s="68" t="s">
        <v>406</v>
      </c>
      <c r="G625" s="68">
        <v>406.5</v>
      </c>
      <c r="H625" s="100" t="str">
        <f>MID(Page012[[#This Row],[Column4]],SEARCH("(",Page012[[#This Row],[Column4]])+1,SEARCH(")",Page012[[#This Row],[Column4]])-SEARCH("(",Page012[[#This Row],[Column4]])-1)</f>
        <v>1168</v>
      </c>
      <c r="I625" s="68">
        <v>1168</v>
      </c>
      <c r="J625" s="68">
        <f t="shared" si="37"/>
        <v>0</v>
      </c>
      <c r="K625" s="68">
        <f t="shared" si="36"/>
        <v>0</v>
      </c>
      <c r="L625" s="100">
        <f t="shared" si="38"/>
        <v>-0.42486133646629831</v>
      </c>
      <c r="M625" s="68">
        <f t="shared" si="39"/>
        <v>10</v>
      </c>
    </row>
    <row r="626" spans="1:13">
      <c r="A626" s="100" t="str">
        <f>MID(Page012[[#This Row],[Column5]],SEARCH("(",Page012[[#This Row],[Column5]])+1,SEARCH(")",Page012[[#This Row],[Column5]])-SEARCH("(",Page012[[#This Row],[Column5]])-1)</f>
        <v>15.88</v>
      </c>
      <c r="B626" s="68" t="s">
        <v>502</v>
      </c>
      <c r="C626" s="68" t="s">
        <v>292</v>
      </c>
      <c r="D626" s="68" t="s">
        <v>292</v>
      </c>
      <c r="E626" s="68" t="s">
        <v>503</v>
      </c>
      <c r="F626" s="68" t="s">
        <v>400</v>
      </c>
      <c r="G626" s="68">
        <v>451</v>
      </c>
      <c r="H626" s="100" t="str">
        <f>MID(Page012[[#This Row],[Column4]],SEARCH("(",Page012[[#This Row],[Column4]])+1,SEARCH(")",Page012[[#This Row],[Column4]])-SEARCH("(",Page012[[#This Row],[Column4]])-1)</f>
        <v>1168</v>
      </c>
      <c r="I626" s="68">
        <v>1168</v>
      </c>
      <c r="J626" s="68">
        <f t="shared" si="37"/>
        <v>0</v>
      </c>
      <c r="K626" s="68">
        <f t="shared" si="36"/>
        <v>0</v>
      </c>
      <c r="L626" s="100">
        <f t="shared" si="38"/>
        <v>-0.42486133646629831</v>
      </c>
      <c r="M626" s="68">
        <f t="shared" si="39"/>
        <v>10</v>
      </c>
    </row>
    <row r="627" spans="1:13">
      <c r="A627" s="100" t="str">
        <f>MID(Page012[[#This Row],[Column5]],SEARCH("(",Page012[[#This Row],[Column5]])+1,SEARCH(")",Page012[[#This Row],[Column5]])-SEARCH("(",Page012[[#This Row],[Column5]])-1)</f>
        <v>17.48</v>
      </c>
      <c r="B627" s="68" t="s">
        <v>502</v>
      </c>
      <c r="C627" s="68" t="s">
        <v>292</v>
      </c>
      <c r="D627" s="68" t="s">
        <v>292</v>
      </c>
      <c r="E627" s="68" t="s">
        <v>503</v>
      </c>
      <c r="F627" s="68" t="s">
        <v>438</v>
      </c>
      <c r="G627" s="68">
        <v>495</v>
      </c>
      <c r="H627" s="100" t="str">
        <f>MID(Page012[[#This Row],[Column4]],SEARCH("(",Page012[[#This Row],[Column4]])+1,SEARCH(")",Page012[[#This Row],[Column4]])-SEARCH("(",Page012[[#This Row],[Column4]])-1)</f>
        <v>1168</v>
      </c>
      <c r="I627" s="68">
        <v>1168</v>
      </c>
      <c r="J627" s="68">
        <f t="shared" si="37"/>
        <v>0</v>
      </c>
      <c r="K627" s="68">
        <f t="shared" si="36"/>
        <v>0</v>
      </c>
      <c r="L627" s="100">
        <f t="shared" si="38"/>
        <v>-0.42486133646629831</v>
      </c>
      <c r="M627" s="68">
        <f t="shared" si="39"/>
        <v>10</v>
      </c>
    </row>
    <row r="628" spans="1:13">
      <c r="A628" s="100" t="str">
        <f>MID(Page012[[#This Row],[Column5]],SEARCH("(",Page012[[#This Row],[Column5]])+1,SEARCH(")",Page012[[#This Row],[Column5]])-SEARCH("(",Page012[[#This Row],[Column5]])-1)</f>
        <v>19.05</v>
      </c>
      <c r="B628" s="68" t="s">
        <v>502</v>
      </c>
      <c r="C628" s="68" t="s">
        <v>292</v>
      </c>
      <c r="D628" s="68" t="s">
        <v>292</v>
      </c>
      <c r="E628" s="68" t="s">
        <v>503</v>
      </c>
      <c r="F628" s="68" t="s">
        <v>401</v>
      </c>
      <c r="G628" s="68">
        <v>539.70000000000005</v>
      </c>
      <c r="H628" s="100" t="str">
        <f>MID(Page012[[#This Row],[Column4]],SEARCH("(",Page012[[#This Row],[Column4]])+1,SEARCH(")",Page012[[#This Row],[Column4]])-SEARCH("(",Page012[[#This Row],[Column4]])-1)</f>
        <v>1168</v>
      </c>
      <c r="I628" s="68">
        <v>1168</v>
      </c>
      <c r="J628" s="68">
        <f t="shared" si="37"/>
        <v>0</v>
      </c>
      <c r="K628" s="68">
        <f t="shared" si="36"/>
        <v>0</v>
      </c>
      <c r="L628" s="100">
        <f t="shared" si="38"/>
        <v>-0.42486133646629831</v>
      </c>
      <c r="M628" s="68">
        <f t="shared" si="39"/>
        <v>10</v>
      </c>
    </row>
    <row r="629" spans="1:13">
      <c r="A629" s="100" t="str">
        <f>MID(Page012[[#This Row],[Column5]],SEARCH("(",Page012[[#This Row],[Column5]])+1,SEARCH(")",Page012[[#This Row],[Column5]])-SEARCH("(",Page012[[#This Row],[Column5]])-1)</f>
        <v>20.62</v>
      </c>
      <c r="B629" s="68" t="s">
        <v>502</v>
      </c>
      <c r="C629" s="68" t="s">
        <v>292</v>
      </c>
      <c r="D629" s="68" t="s">
        <v>292</v>
      </c>
      <c r="E629" s="68" t="s">
        <v>503</v>
      </c>
      <c r="F629" s="68" t="s">
        <v>421</v>
      </c>
      <c r="G629" s="68">
        <v>583</v>
      </c>
      <c r="H629" s="100" t="str">
        <f>MID(Page012[[#This Row],[Column4]],SEARCH("(",Page012[[#This Row],[Column4]])+1,SEARCH(")",Page012[[#This Row],[Column4]])-SEARCH("(",Page012[[#This Row],[Column4]])-1)</f>
        <v>1168</v>
      </c>
      <c r="I629" s="68">
        <v>1168</v>
      </c>
      <c r="J629" s="68">
        <f t="shared" si="37"/>
        <v>0</v>
      </c>
      <c r="K629" s="68">
        <f t="shared" si="36"/>
        <v>0</v>
      </c>
      <c r="L629" s="100">
        <f t="shared" si="38"/>
        <v>-0.42486133646629831</v>
      </c>
      <c r="M629" s="68">
        <f t="shared" si="39"/>
        <v>10</v>
      </c>
    </row>
    <row r="630" spans="1:13">
      <c r="A630" s="100" t="str">
        <f>MID(Page012[[#This Row],[Column5]],SEARCH("(",Page012[[#This Row],[Column5]])+1,SEARCH(")",Page012[[#This Row],[Column5]])-SEARCH("(",Page012[[#This Row],[Column5]])-1)</f>
        <v>22.23</v>
      </c>
      <c r="B630" s="68" t="s">
        <v>502</v>
      </c>
      <c r="C630" s="68" t="s">
        <v>292</v>
      </c>
      <c r="D630" s="68" t="s">
        <v>292</v>
      </c>
      <c r="E630" s="68" t="s">
        <v>503</v>
      </c>
      <c r="F630" s="68" t="s">
        <v>409</v>
      </c>
      <c r="G630" s="68">
        <v>628</v>
      </c>
      <c r="H630" s="100" t="str">
        <f>MID(Page012[[#This Row],[Column4]],SEARCH("(",Page012[[#This Row],[Column4]])+1,SEARCH(")",Page012[[#This Row],[Column4]])-SEARCH("(",Page012[[#This Row],[Column4]])-1)</f>
        <v>1168</v>
      </c>
      <c r="I630" s="68">
        <v>1168</v>
      </c>
      <c r="J630" s="68">
        <f t="shared" si="37"/>
        <v>0</v>
      </c>
      <c r="K630" s="68">
        <f t="shared" si="36"/>
        <v>0</v>
      </c>
      <c r="L630" s="100">
        <f t="shared" si="38"/>
        <v>-0.42486133646629831</v>
      </c>
      <c r="M630" s="68">
        <f t="shared" si="39"/>
        <v>10</v>
      </c>
    </row>
    <row r="631" spans="1:13">
      <c r="A631" s="100" t="str">
        <f>MID(Page012[[#This Row],[Column5]],SEARCH("(",Page012[[#This Row],[Column5]])+1,SEARCH(")",Page012[[#This Row],[Column5]])-SEARCH("(",Page012[[#This Row],[Column5]])-1)</f>
        <v>23.83</v>
      </c>
      <c r="B631" s="68" t="s">
        <v>502</v>
      </c>
      <c r="C631" s="68" t="s">
        <v>292</v>
      </c>
      <c r="D631" s="68" t="s">
        <v>292</v>
      </c>
      <c r="E631" s="68" t="s">
        <v>503</v>
      </c>
      <c r="F631" s="68" t="s">
        <v>431</v>
      </c>
      <c r="G631" s="68">
        <v>672</v>
      </c>
      <c r="H631" s="100" t="str">
        <f>MID(Page012[[#This Row],[Column4]],SEARCH("(",Page012[[#This Row],[Column4]])+1,SEARCH(")",Page012[[#This Row],[Column4]])-SEARCH("(",Page012[[#This Row],[Column4]])-1)</f>
        <v>1168</v>
      </c>
      <c r="I631" s="68">
        <v>1168</v>
      </c>
      <c r="J631" s="68">
        <f t="shared" si="37"/>
        <v>0</v>
      </c>
      <c r="K631" s="68">
        <f t="shared" si="36"/>
        <v>0</v>
      </c>
      <c r="L631" s="100">
        <f t="shared" si="38"/>
        <v>-0.42486133646629831</v>
      </c>
      <c r="M631" s="68">
        <f t="shared" si="39"/>
        <v>10</v>
      </c>
    </row>
    <row r="632" spans="1:13">
      <c r="A632" s="100" t="str">
        <f>MID(Page012[[#This Row],[Column5]],SEARCH("(",Page012[[#This Row],[Column5]])+1,SEARCH(")",Page012[[#This Row],[Column5]])-SEARCH("(",Page012[[#This Row],[Column5]])-1)</f>
        <v>25.40</v>
      </c>
      <c r="B632" s="68" t="s">
        <v>502</v>
      </c>
      <c r="C632" s="68" t="s">
        <v>292</v>
      </c>
      <c r="D632" s="68" t="s">
        <v>292</v>
      </c>
      <c r="E632" s="68" t="s">
        <v>503</v>
      </c>
      <c r="F632" s="68" t="s">
        <v>423</v>
      </c>
      <c r="G632" s="68">
        <v>715</v>
      </c>
      <c r="H632" s="100" t="str">
        <f>MID(Page012[[#This Row],[Column4]],SEARCH("(",Page012[[#This Row],[Column4]])+1,SEARCH(")",Page012[[#This Row],[Column4]])-SEARCH("(",Page012[[#This Row],[Column4]])-1)</f>
        <v>1168</v>
      </c>
      <c r="I632" s="68">
        <v>1168</v>
      </c>
      <c r="J632" s="68">
        <f t="shared" si="37"/>
        <v>0</v>
      </c>
      <c r="K632" s="68">
        <f t="shared" si="36"/>
        <v>0</v>
      </c>
      <c r="L632" s="100">
        <f t="shared" si="38"/>
        <v>-0.42486133646629831</v>
      </c>
      <c r="M632" s="68">
        <f t="shared" si="39"/>
        <v>10</v>
      </c>
    </row>
    <row r="633" spans="1:13">
      <c r="A633" s="100" t="str">
        <f>MID(Page012[[#This Row],[Column5]],SEARCH("(",Page012[[#This Row],[Column5]])+1,SEARCH(")",Page012[[#This Row],[Column5]])-SEARCH("(",Page012[[#This Row],[Column5]])-1)</f>
        <v>26.97</v>
      </c>
      <c r="B633" s="68" t="s">
        <v>502</v>
      </c>
      <c r="C633" s="68" t="s">
        <v>292</v>
      </c>
      <c r="D633" s="68" t="s">
        <v>292</v>
      </c>
      <c r="E633" s="68" t="s">
        <v>503</v>
      </c>
      <c r="F633" s="68" t="s">
        <v>439</v>
      </c>
      <c r="G633" s="68">
        <v>758.92</v>
      </c>
      <c r="H633" s="100" t="str">
        <f>MID(Page012[[#This Row],[Column4]],SEARCH("(",Page012[[#This Row],[Column4]])+1,SEARCH(")",Page012[[#This Row],[Column4]])-SEARCH("(",Page012[[#This Row],[Column4]])-1)</f>
        <v>1168</v>
      </c>
      <c r="I633" s="68">
        <v>1168</v>
      </c>
      <c r="J633" s="68">
        <f t="shared" si="37"/>
        <v>0</v>
      </c>
      <c r="K633" s="68">
        <f t="shared" si="36"/>
        <v>0</v>
      </c>
      <c r="L633" s="100">
        <f t="shared" si="38"/>
        <v>-0.42486133646629831</v>
      </c>
      <c r="M633" s="68">
        <f t="shared" si="39"/>
        <v>10</v>
      </c>
    </row>
    <row r="634" spans="1:13">
      <c r="A634" s="100" t="str">
        <f>MID(Page012[[#This Row],[Column5]],SEARCH("(",Page012[[#This Row],[Column5]])+1,SEARCH(")",Page012[[#This Row],[Column5]])-SEARCH("(",Page012[[#This Row],[Column5]])-1)</f>
        <v>28.58</v>
      </c>
      <c r="B634" s="68" t="s">
        <v>502</v>
      </c>
      <c r="C634" s="68" t="s">
        <v>292</v>
      </c>
      <c r="D634" s="68" t="s">
        <v>292</v>
      </c>
      <c r="E634" s="68" t="s">
        <v>503</v>
      </c>
      <c r="F634" s="68" t="s">
        <v>432</v>
      </c>
      <c r="G634" s="68">
        <v>803</v>
      </c>
      <c r="H634" s="100" t="str">
        <f>MID(Page012[[#This Row],[Column4]],SEARCH("(",Page012[[#This Row],[Column4]])+1,SEARCH(")",Page012[[#This Row],[Column4]])-SEARCH("(",Page012[[#This Row],[Column4]])-1)</f>
        <v>1168</v>
      </c>
      <c r="I634" s="68">
        <v>1168</v>
      </c>
      <c r="J634" s="68">
        <f t="shared" si="37"/>
        <v>0</v>
      </c>
      <c r="K634" s="68">
        <f t="shared" si="36"/>
        <v>0</v>
      </c>
      <c r="L634" s="100">
        <f t="shared" si="38"/>
        <v>-0.42486133646629831</v>
      </c>
      <c r="M634" s="68">
        <f t="shared" si="39"/>
        <v>10</v>
      </c>
    </row>
    <row r="635" spans="1:13">
      <c r="A635" s="100" t="str">
        <f>MID(Page012[[#This Row],[Column5]],SEARCH("(",Page012[[#This Row],[Column5]])+1,SEARCH(")",Page012[[#This Row],[Column5]])-SEARCH("(",Page012[[#This Row],[Column5]])-1)</f>
        <v>30.18</v>
      </c>
      <c r="B635" s="68" t="s">
        <v>502</v>
      </c>
      <c r="C635" s="68" t="s">
        <v>292</v>
      </c>
      <c r="D635" s="68" t="s">
        <v>292</v>
      </c>
      <c r="E635" s="68" t="s">
        <v>503</v>
      </c>
      <c r="F635" s="68" t="s">
        <v>455</v>
      </c>
      <c r="G635" s="68">
        <v>846</v>
      </c>
      <c r="H635" s="100" t="str">
        <f>MID(Page012[[#This Row],[Column4]],SEARCH("(",Page012[[#This Row],[Column4]])+1,SEARCH(")",Page012[[#This Row],[Column4]])-SEARCH("(",Page012[[#This Row],[Column4]])-1)</f>
        <v>1168</v>
      </c>
      <c r="I635" s="68">
        <v>1168</v>
      </c>
      <c r="J635" s="68">
        <f t="shared" si="37"/>
        <v>0</v>
      </c>
      <c r="K635" s="68">
        <f t="shared" si="36"/>
        <v>0</v>
      </c>
      <c r="L635" s="100">
        <f t="shared" si="38"/>
        <v>-0.42486133646629831</v>
      </c>
      <c r="M635" s="68">
        <f t="shared" si="39"/>
        <v>10</v>
      </c>
    </row>
    <row r="636" spans="1:13">
      <c r="A636" s="100" t="str">
        <f>MID(Page012[[#This Row],[Column5]],SEARCH("(",Page012[[#This Row],[Column5]])+1,SEARCH(")",Page012[[#This Row],[Column5]])-SEARCH("(",Page012[[#This Row],[Column5]])-1)</f>
        <v>31.75</v>
      </c>
      <c r="B636" s="68" t="s">
        <v>502</v>
      </c>
      <c r="C636" s="68" t="s">
        <v>292</v>
      </c>
      <c r="D636" s="68" t="s">
        <v>292</v>
      </c>
      <c r="E636" s="68" t="s">
        <v>503</v>
      </c>
      <c r="F636" s="68" t="s">
        <v>433</v>
      </c>
      <c r="G636" s="68">
        <v>889</v>
      </c>
      <c r="H636" s="100" t="str">
        <f>MID(Page012[[#This Row],[Column4]],SEARCH("(",Page012[[#This Row],[Column4]])+1,SEARCH(")",Page012[[#This Row],[Column4]])-SEARCH("(",Page012[[#This Row],[Column4]])-1)</f>
        <v>1168</v>
      </c>
      <c r="I636" s="68">
        <v>1168</v>
      </c>
      <c r="J636" s="68">
        <f t="shared" si="37"/>
        <v>0</v>
      </c>
      <c r="K636" s="68">
        <f t="shared" si="36"/>
        <v>0</v>
      </c>
      <c r="L636" s="100">
        <f t="shared" si="38"/>
        <v>-0.42486133646629831</v>
      </c>
      <c r="M636" s="68">
        <f t="shared" si="39"/>
        <v>10</v>
      </c>
    </row>
    <row r="637" spans="1:13">
      <c r="A637" s="100" t="str">
        <f>MID(Page012[[#This Row],[Column5]],SEARCH("(",Page012[[#This Row],[Column5]])+1,SEARCH(")",Page012[[#This Row],[Column5]])-SEARCH("(",Page012[[#This Row],[Column5]])-1)</f>
        <v>8.74</v>
      </c>
      <c r="B637" s="68" t="s">
        <v>504</v>
      </c>
      <c r="C637" s="68" t="s">
        <v>292</v>
      </c>
      <c r="D637" s="68" t="s">
        <v>292</v>
      </c>
      <c r="E637" s="68" t="s">
        <v>505</v>
      </c>
      <c r="F637" s="68" t="s">
        <v>367</v>
      </c>
      <c r="G637" s="68">
        <v>260.8</v>
      </c>
      <c r="H637" s="100" t="str">
        <f>MID(Page012[[#This Row],[Column4]],SEARCH("(",Page012[[#This Row],[Column4]])+1,SEARCH(")",Page012[[#This Row],[Column4]])-SEARCH("(",Page012[[#This Row],[Column4]])-1)</f>
        <v>1219</v>
      </c>
      <c r="I637" s="68">
        <v>1219</v>
      </c>
      <c r="J637" s="68">
        <f t="shared" si="37"/>
        <v>0</v>
      </c>
      <c r="K637" s="68">
        <f t="shared" si="36"/>
        <v>0</v>
      </c>
      <c r="L637" s="100">
        <f t="shared" si="38"/>
        <v>-0.42486133646629831</v>
      </c>
      <c r="M637" s="68">
        <f t="shared" si="39"/>
        <v>10</v>
      </c>
    </row>
    <row r="638" spans="1:13">
      <c r="A638" s="100" t="str">
        <f>MID(Page012[[#This Row],[Column5]],SEARCH("(",Page012[[#This Row],[Column5]])+1,SEARCH(")",Page012[[#This Row],[Column5]])-SEARCH("(",Page012[[#This Row],[Column5]])-1)</f>
        <v>9.53</v>
      </c>
      <c r="B638" s="68" t="s">
        <v>504</v>
      </c>
      <c r="C638" s="68" t="s">
        <v>300</v>
      </c>
      <c r="D638" s="68" t="s">
        <v>292</v>
      </c>
      <c r="E638" s="68" t="s">
        <v>505</v>
      </c>
      <c r="F638" s="68" t="s">
        <v>376</v>
      </c>
      <c r="G638" s="68">
        <v>284</v>
      </c>
      <c r="H638" s="100" t="str">
        <f>MID(Page012[[#This Row],[Column4]],SEARCH("(",Page012[[#This Row],[Column4]])+1,SEARCH(")",Page012[[#This Row],[Column4]])-SEARCH("(",Page012[[#This Row],[Column4]])-1)</f>
        <v>1219</v>
      </c>
      <c r="I638" s="68">
        <v>1219</v>
      </c>
      <c r="J638" s="68">
        <f t="shared" si="37"/>
        <v>0</v>
      </c>
      <c r="K638" s="68">
        <f t="shared" si="36"/>
        <v>0</v>
      </c>
      <c r="L638" s="100">
        <f t="shared" si="38"/>
        <v>-0.42486133646629831</v>
      </c>
      <c r="M638" s="68">
        <f t="shared" si="39"/>
        <v>10</v>
      </c>
    </row>
    <row r="639" spans="1:13">
      <c r="A639" s="100" t="str">
        <f>MID(Page012[[#This Row],[Column5]],SEARCH("(",Page012[[#This Row],[Column5]])+1,SEARCH(")",Page012[[#This Row],[Column5]])-SEARCH("(",Page012[[#This Row],[Column5]])-1)</f>
        <v>10.31</v>
      </c>
      <c r="B639" s="68" t="s">
        <v>504</v>
      </c>
      <c r="C639" s="68" t="s">
        <v>292</v>
      </c>
      <c r="D639" s="68" t="s">
        <v>292</v>
      </c>
      <c r="E639" s="68" t="s">
        <v>505</v>
      </c>
      <c r="F639" s="68" t="s">
        <v>417</v>
      </c>
      <c r="G639" s="68">
        <v>307.32</v>
      </c>
      <c r="H639" s="100" t="str">
        <f>MID(Page012[[#This Row],[Column4]],SEARCH("(",Page012[[#This Row],[Column4]])+1,SEARCH(")",Page012[[#This Row],[Column4]])-SEARCH("(",Page012[[#This Row],[Column4]])-1)</f>
        <v>1219</v>
      </c>
      <c r="I639" s="68">
        <v>1219</v>
      </c>
      <c r="J639" s="68">
        <f t="shared" si="37"/>
        <v>0</v>
      </c>
      <c r="K639" s="68">
        <f t="shared" si="36"/>
        <v>0</v>
      </c>
      <c r="L639" s="100">
        <f t="shared" si="38"/>
        <v>-0.42486133646629831</v>
      </c>
      <c r="M639" s="68">
        <f t="shared" si="39"/>
        <v>10</v>
      </c>
    </row>
    <row r="640" spans="1:13">
      <c r="A640" s="100" t="str">
        <f>MID(Page012[[#This Row],[Column5]],SEARCH("(",Page012[[#This Row],[Column5]])+1,SEARCH(")",Page012[[#This Row],[Column5]])-SEARCH("(",Page012[[#This Row],[Column5]])-1)</f>
        <v>11.13</v>
      </c>
      <c r="B640" s="68" t="s">
        <v>504</v>
      </c>
      <c r="C640" s="68" t="s">
        <v>292</v>
      </c>
      <c r="D640" s="68" t="s">
        <v>292</v>
      </c>
      <c r="E640" s="68" t="s">
        <v>505</v>
      </c>
      <c r="F640" s="68" t="s">
        <v>381</v>
      </c>
      <c r="G640" s="68">
        <v>331</v>
      </c>
      <c r="H640" s="100" t="str">
        <f>MID(Page012[[#This Row],[Column4]],SEARCH("(",Page012[[#This Row],[Column4]])+1,SEARCH(")",Page012[[#This Row],[Column4]])-SEARCH("(",Page012[[#This Row],[Column4]])-1)</f>
        <v>1219</v>
      </c>
      <c r="I640" s="68">
        <v>1219</v>
      </c>
      <c r="J640" s="68">
        <f t="shared" si="37"/>
        <v>0</v>
      </c>
      <c r="K640" s="68">
        <f t="shared" si="36"/>
        <v>0</v>
      </c>
      <c r="L640" s="100">
        <f t="shared" si="38"/>
        <v>-0.42486133646629831</v>
      </c>
      <c r="M640" s="68">
        <f t="shared" si="39"/>
        <v>10</v>
      </c>
    </row>
    <row r="641" spans="1:13">
      <c r="A641" s="100" t="str">
        <f>MID(Page012[[#This Row],[Column5]],SEARCH("(",Page012[[#This Row],[Column5]])+1,SEARCH(")",Page012[[#This Row],[Column5]])-SEARCH("(",Page012[[#This Row],[Column5]])-1)</f>
        <v>11.91</v>
      </c>
      <c r="B641" s="68" t="s">
        <v>504</v>
      </c>
      <c r="C641" s="68" t="s">
        <v>292</v>
      </c>
      <c r="D641" s="68" t="s">
        <v>292</v>
      </c>
      <c r="E641" s="68" t="s">
        <v>505</v>
      </c>
      <c r="F641" s="68" t="s">
        <v>444</v>
      </c>
      <c r="G641" s="68">
        <v>354</v>
      </c>
      <c r="H641" s="100" t="str">
        <f>MID(Page012[[#This Row],[Column4]],SEARCH("(",Page012[[#This Row],[Column4]])+1,SEARCH(")",Page012[[#This Row],[Column4]])-SEARCH("(",Page012[[#This Row],[Column4]])-1)</f>
        <v>1219</v>
      </c>
      <c r="I641" s="68">
        <v>1219</v>
      </c>
      <c r="J641" s="68">
        <f t="shared" si="37"/>
        <v>0</v>
      </c>
      <c r="K641" s="68">
        <f t="shared" si="36"/>
        <v>0</v>
      </c>
      <c r="L641" s="100">
        <f t="shared" si="38"/>
        <v>-0.42486133646629831</v>
      </c>
      <c r="M641" s="68">
        <f t="shared" si="39"/>
        <v>10</v>
      </c>
    </row>
    <row r="642" spans="1:13">
      <c r="A642" s="100" t="str">
        <f>MID(Page012[[#This Row],[Column5]],SEARCH("(",Page012[[#This Row],[Column5]])+1,SEARCH(")",Page012[[#This Row],[Column5]])-SEARCH("(",Page012[[#This Row],[Column5]])-1)</f>
        <v>12.70</v>
      </c>
      <c r="B642" s="68" t="s">
        <v>504</v>
      </c>
      <c r="C642" s="68" t="s">
        <v>303</v>
      </c>
      <c r="D642" s="68" t="s">
        <v>292</v>
      </c>
      <c r="E642" s="68" t="s">
        <v>505</v>
      </c>
      <c r="F642" s="68" t="s">
        <v>399</v>
      </c>
      <c r="G642" s="68">
        <v>377</v>
      </c>
      <c r="H642" s="100" t="str">
        <f>MID(Page012[[#This Row],[Column4]],SEARCH("(",Page012[[#This Row],[Column4]])+1,SEARCH(")",Page012[[#This Row],[Column4]])-SEARCH("(",Page012[[#This Row],[Column4]])-1)</f>
        <v>1219</v>
      </c>
      <c r="I642" s="68">
        <v>1219</v>
      </c>
      <c r="J642" s="68">
        <f t="shared" si="37"/>
        <v>0</v>
      </c>
      <c r="K642" s="68">
        <f t="shared" ref="K642:K705" si="40">IF(IF(I642&gt;=$Q$3,I642,$Q$2+10)&lt;=$Q$2,A642,0)</f>
        <v>0</v>
      </c>
      <c r="L642" s="100">
        <f t="shared" si="38"/>
        <v>-0.42486133646629831</v>
      </c>
      <c r="M642" s="68">
        <f t="shared" si="39"/>
        <v>10</v>
      </c>
    </row>
    <row r="643" spans="1:13">
      <c r="A643" s="100" t="str">
        <f>MID(Page012[[#This Row],[Column5]],SEARCH("(",Page012[[#This Row],[Column5]])+1,SEARCH(")",Page012[[#This Row],[Column5]])-SEARCH("(",Page012[[#This Row],[Column5]])-1)</f>
        <v>14.27</v>
      </c>
      <c r="B643" s="68" t="s">
        <v>504</v>
      </c>
      <c r="C643" s="68" t="s">
        <v>292</v>
      </c>
      <c r="D643" s="68" t="s">
        <v>292</v>
      </c>
      <c r="E643" s="68" t="s">
        <v>505</v>
      </c>
      <c r="F643" s="68" t="s">
        <v>406</v>
      </c>
      <c r="G643" s="68">
        <v>423.9</v>
      </c>
      <c r="H643" s="100" t="str">
        <f>MID(Page012[[#This Row],[Column4]],SEARCH("(",Page012[[#This Row],[Column4]])+1,SEARCH(")",Page012[[#This Row],[Column4]])-SEARCH("(",Page012[[#This Row],[Column4]])-1)</f>
        <v>1219</v>
      </c>
      <c r="I643" s="68">
        <v>1219</v>
      </c>
      <c r="J643" s="68">
        <f t="shared" ref="J643:J706" si="41">IF(IF(I643&gt;=$Q$3,I643,$Q$2+10)&lt;=$Q$2,I643,0)</f>
        <v>0</v>
      </c>
      <c r="K643" s="68">
        <f t="shared" si="40"/>
        <v>0</v>
      </c>
      <c r="L643" s="100">
        <f t="shared" ref="L643:L706" si="42">K643-$Q$1</f>
        <v>-0.42486133646629831</v>
      </c>
      <c r="M643" s="68">
        <f t="shared" si="39"/>
        <v>10</v>
      </c>
    </row>
    <row r="644" spans="1:13">
      <c r="A644" s="100" t="str">
        <f>MID(Page012[[#This Row],[Column5]],SEARCH("(",Page012[[#This Row],[Column5]])+1,SEARCH(")",Page012[[#This Row],[Column5]])-SEARCH("(",Page012[[#This Row],[Column5]])-1)</f>
        <v>15.88</v>
      </c>
      <c r="B644" s="68" t="s">
        <v>504</v>
      </c>
      <c r="C644" s="68" t="s">
        <v>292</v>
      </c>
      <c r="D644" s="68" t="s">
        <v>292</v>
      </c>
      <c r="E644" s="68" t="s">
        <v>505</v>
      </c>
      <c r="F644" s="68" t="s">
        <v>400</v>
      </c>
      <c r="G644" s="68">
        <v>471</v>
      </c>
      <c r="H644" s="100" t="str">
        <f>MID(Page012[[#This Row],[Column4]],SEARCH("(",Page012[[#This Row],[Column4]])+1,SEARCH(")",Page012[[#This Row],[Column4]])-SEARCH("(",Page012[[#This Row],[Column4]])-1)</f>
        <v>1219</v>
      </c>
      <c r="I644" s="68">
        <v>1219</v>
      </c>
      <c r="J644" s="68">
        <f t="shared" si="41"/>
        <v>0</v>
      </c>
      <c r="K644" s="68">
        <f t="shared" si="40"/>
        <v>0</v>
      </c>
      <c r="L644" s="100">
        <f t="shared" si="42"/>
        <v>-0.42486133646629831</v>
      </c>
      <c r="M644" s="68">
        <f t="shared" ref="M644:M707" si="43">IF(L644&lt;0,10,L644)</f>
        <v>10</v>
      </c>
    </row>
    <row r="645" spans="1:13">
      <c r="A645" s="100" t="str">
        <f>MID(Page012[[#This Row],[Column5]],SEARCH("(",Page012[[#This Row],[Column5]])+1,SEARCH(")",Page012[[#This Row],[Column5]])-SEARCH("(",Page012[[#This Row],[Column5]])-1)</f>
        <v>17.48</v>
      </c>
      <c r="B645" s="68" t="s">
        <v>504</v>
      </c>
      <c r="C645" s="68" t="s">
        <v>292</v>
      </c>
      <c r="D645" s="68" t="s">
        <v>292</v>
      </c>
      <c r="E645" s="68" t="s">
        <v>505</v>
      </c>
      <c r="F645" s="68" t="s">
        <v>438</v>
      </c>
      <c r="G645" s="68">
        <v>517.9</v>
      </c>
      <c r="H645" s="100" t="str">
        <f>MID(Page012[[#This Row],[Column4]],SEARCH("(",Page012[[#This Row],[Column4]])+1,SEARCH(")",Page012[[#This Row],[Column4]])-SEARCH("(",Page012[[#This Row],[Column4]])-1)</f>
        <v>1219</v>
      </c>
      <c r="I645" s="68">
        <v>1219</v>
      </c>
      <c r="J645" s="68">
        <f t="shared" si="41"/>
        <v>0</v>
      </c>
      <c r="K645" s="68">
        <f t="shared" si="40"/>
        <v>0</v>
      </c>
      <c r="L645" s="100">
        <f t="shared" si="42"/>
        <v>-0.42486133646629831</v>
      </c>
      <c r="M645" s="68">
        <f t="shared" si="43"/>
        <v>10</v>
      </c>
    </row>
    <row r="646" spans="1:13">
      <c r="A646" s="100" t="str">
        <f>MID(Page012[[#This Row],[Column5]],SEARCH("(",Page012[[#This Row],[Column5]])+1,SEARCH(")",Page012[[#This Row],[Column5]])-SEARCH("(",Page012[[#This Row],[Column5]])-1)</f>
        <v>19.05</v>
      </c>
      <c r="B646" s="68" t="s">
        <v>504</v>
      </c>
      <c r="C646" s="68" t="s">
        <v>292</v>
      </c>
      <c r="D646" s="68" t="s">
        <v>292</v>
      </c>
      <c r="E646" s="68" t="s">
        <v>505</v>
      </c>
      <c r="F646" s="68" t="s">
        <v>401</v>
      </c>
      <c r="G646" s="68">
        <v>563</v>
      </c>
      <c r="H646" s="100" t="str">
        <f>MID(Page012[[#This Row],[Column4]],SEARCH("(",Page012[[#This Row],[Column4]])+1,SEARCH(")",Page012[[#This Row],[Column4]])-SEARCH("(",Page012[[#This Row],[Column4]])-1)</f>
        <v>1219</v>
      </c>
      <c r="I646" s="68">
        <v>1219</v>
      </c>
      <c r="J646" s="68">
        <f t="shared" si="41"/>
        <v>0</v>
      </c>
      <c r="K646" s="68">
        <f t="shared" si="40"/>
        <v>0</v>
      </c>
      <c r="L646" s="100">
        <f t="shared" si="42"/>
        <v>-0.42486133646629831</v>
      </c>
      <c r="M646" s="68">
        <f t="shared" si="43"/>
        <v>10</v>
      </c>
    </row>
    <row r="647" spans="1:13">
      <c r="A647" s="100" t="str">
        <f>MID(Page012[[#This Row],[Column5]],SEARCH("(",Page012[[#This Row],[Column5]])+1,SEARCH(")",Page012[[#This Row],[Column5]])-SEARCH("(",Page012[[#This Row],[Column5]])-1)</f>
        <v>20.62</v>
      </c>
      <c r="B647" s="68" t="s">
        <v>504</v>
      </c>
      <c r="C647" s="68" t="s">
        <v>292</v>
      </c>
      <c r="D647" s="68" t="s">
        <v>292</v>
      </c>
      <c r="E647" s="68" t="s">
        <v>505</v>
      </c>
      <c r="F647" s="68" t="s">
        <v>421</v>
      </c>
      <c r="G647" s="68">
        <v>609</v>
      </c>
      <c r="H647" s="100" t="str">
        <f>MID(Page012[[#This Row],[Column4]],SEARCH("(",Page012[[#This Row],[Column4]])+1,SEARCH(")",Page012[[#This Row],[Column4]])-SEARCH("(",Page012[[#This Row],[Column4]])-1)</f>
        <v>1219</v>
      </c>
      <c r="I647" s="68">
        <v>1219</v>
      </c>
      <c r="J647" s="68">
        <f t="shared" si="41"/>
        <v>0</v>
      </c>
      <c r="K647" s="68">
        <f t="shared" si="40"/>
        <v>0</v>
      </c>
      <c r="L647" s="100">
        <f t="shared" si="42"/>
        <v>-0.42486133646629831</v>
      </c>
      <c r="M647" s="68">
        <f t="shared" si="43"/>
        <v>10</v>
      </c>
    </row>
    <row r="648" spans="1:13">
      <c r="A648" s="100" t="str">
        <f>MID(Page012[[#This Row],[Column5]],SEARCH("(",Page012[[#This Row],[Column5]])+1,SEARCH(")",Page012[[#This Row],[Column5]])-SEARCH("(",Page012[[#This Row],[Column5]])-1)</f>
        <v>22.23</v>
      </c>
      <c r="B648" s="68" t="s">
        <v>504</v>
      </c>
      <c r="C648" s="68" t="s">
        <v>292</v>
      </c>
      <c r="D648" s="68" t="s">
        <v>292</v>
      </c>
      <c r="E648" s="68" t="s">
        <v>505</v>
      </c>
      <c r="F648" s="68" t="s">
        <v>409</v>
      </c>
      <c r="G648" s="68">
        <v>656</v>
      </c>
      <c r="H648" s="100" t="str">
        <f>MID(Page012[[#This Row],[Column4]],SEARCH("(",Page012[[#This Row],[Column4]])+1,SEARCH(")",Page012[[#This Row],[Column4]])-SEARCH("(",Page012[[#This Row],[Column4]])-1)</f>
        <v>1219</v>
      </c>
      <c r="I648" s="68">
        <v>1219</v>
      </c>
      <c r="J648" s="68">
        <f t="shared" si="41"/>
        <v>0</v>
      </c>
      <c r="K648" s="68">
        <f t="shared" si="40"/>
        <v>0</v>
      </c>
      <c r="L648" s="100">
        <f t="shared" si="42"/>
        <v>-0.42486133646629831</v>
      </c>
      <c r="M648" s="68">
        <f t="shared" si="43"/>
        <v>10</v>
      </c>
    </row>
    <row r="649" spans="1:13">
      <c r="A649" s="100" t="str">
        <f>MID(Page012[[#This Row],[Column5]],SEARCH("(",Page012[[#This Row],[Column5]])+1,SEARCH(")",Page012[[#This Row],[Column5]])-SEARCH("(",Page012[[#This Row],[Column5]])-1)</f>
        <v>23.83</v>
      </c>
      <c r="B649" s="68" t="s">
        <v>504</v>
      </c>
      <c r="C649" s="68" t="s">
        <v>292</v>
      </c>
      <c r="D649" s="68" t="s">
        <v>292</v>
      </c>
      <c r="E649" s="68" t="s">
        <v>505</v>
      </c>
      <c r="F649" s="68" t="s">
        <v>431</v>
      </c>
      <c r="G649" s="68">
        <v>702</v>
      </c>
      <c r="H649" s="100" t="str">
        <f>MID(Page012[[#This Row],[Column4]],SEARCH("(",Page012[[#This Row],[Column4]])+1,SEARCH(")",Page012[[#This Row],[Column4]])-SEARCH("(",Page012[[#This Row],[Column4]])-1)</f>
        <v>1219</v>
      </c>
      <c r="I649" s="68">
        <v>1219</v>
      </c>
      <c r="J649" s="68">
        <f t="shared" si="41"/>
        <v>0</v>
      </c>
      <c r="K649" s="68">
        <f t="shared" si="40"/>
        <v>0</v>
      </c>
      <c r="L649" s="100">
        <f t="shared" si="42"/>
        <v>-0.42486133646629831</v>
      </c>
      <c r="M649" s="68">
        <f t="shared" si="43"/>
        <v>10</v>
      </c>
    </row>
    <row r="650" spans="1:13">
      <c r="A650" s="100" t="str">
        <f>MID(Page012[[#This Row],[Column5]],SEARCH("(",Page012[[#This Row],[Column5]])+1,SEARCH(")",Page012[[#This Row],[Column5]])-SEARCH("(",Page012[[#This Row],[Column5]])-1)</f>
        <v>25.40</v>
      </c>
      <c r="B650" s="68" t="s">
        <v>504</v>
      </c>
      <c r="C650" s="68" t="s">
        <v>292</v>
      </c>
      <c r="D650" s="68" t="s">
        <v>292</v>
      </c>
      <c r="E650" s="68" t="s">
        <v>505</v>
      </c>
      <c r="F650" s="68" t="s">
        <v>423</v>
      </c>
      <c r="G650" s="68">
        <v>747</v>
      </c>
      <c r="H650" s="100" t="str">
        <f>MID(Page012[[#This Row],[Column4]],SEARCH("(",Page012[[#This Row],[Column4]])+1,SEARCH(")",Page012[[#This Row],[Column4]])-SEARCH("(",Page012[[#This Row],[Column4]])-1)</f>
        <v>1219</v>
      </c>
      <c r="I650" s="68">
        <v>1219</v>
      </c>
      <c r="J650" s="68">
        <f t="shared" si="41"/>
        <v>0</v>
      </c>
      <c r="K650" s="68">
        <f t="shared" si="40"/>
        <v>0</v>
      </c>
      <c r="L650" s="100">
        <f t="shared" si="42"/>
        <v>-0.42486133646629831</v>
      </c>
      <c r="M650" s="68">
        <f t="shared" si="43"/>
        <v>10</v>
      </c>
    </row>
    <row r="651" spans="1:13">
      <c r="A651" s="100" t="str">
        <f>MID(Page012[[#This Row],[Column5]],SEARCH("(",Page012[[#This Row],[Column5]])+1,SEARCH(")",Page012[[#This Row],[Column5]])-SEARCH("(",Page012[[#This Row],[Column5]])-1)</f>
        <v>26.97</v>
      </c>
      <c r="B651" s="68" t="s">
        <v>504</v>
      </c>
      <c r="C651" s="68" t="s">
        <v>292</v>
      </c>
      <c r="D651" s="68" t="s">
        <v>292</v>
      </c>
      <c r="E651" s="68" t="s">
        <v>505</v>
      </c>
      <c r="F651" s="68" t="s">
        <v>439</v>
      </c>
      <c r="G651" s="68">
        <v>792</v>
      </c>
      <c r="H651" s="100" t="str">
        <f>MID(Page012[[#This Row],[Column4]],SEARCH("(",Page012[[#This Row],[Column4]])+1,SEARCH(")",Page012[[#This Row],[Column4]])-SEARCH("(",Page012[[#This Row],[Column4]])-1)</f>
        <v>1219</v>
      </c>
      <c r="I651" s="68">
        <v>1219</v>
      </c>
      <c r="J651" s="68">
        <f t="shared" si="41"/>
        <v>0</v>
      </c>
      <c r="K651" s="68">
        <f t="shared" si="40"/>
        <v>0</v>
      </c>
      <c r="L651" s="100">
        <f t="shared" si="42"/>
        <v>-0.42486133646629831</v>
      </c>
      <c r="M651" s="68">
        <f t="shared" si="43"/>
        <v>10</v>
      </c>
    </row>
    <row r="652" spans="1:13">
      <c r="A652" s="100" t="str">
        <f>MID(Page012[[#This Row],[Column5]],SEARCH("(",Page012[[#This Row],[Column5]])+1,SEARCH(")",Page012[[#This Row],[Column5]])-SEARCH("(",Page012[[#This Row],[Column5]])-1)</f>
        <v>28.58</v>
      </c>
      <c r="B652" s="68" t="s">
        <v>504</v>
      </c>
      <c r="C652" s="68" t="s">
        <v>292</v>
      </c>
      <c r="D652" s="68" t="s">
        <v>292</v>
      </c>
      <c r="E652" s="68" t="s">
        <v>505</v>
      </c>
      <c r="F652" s="68" t="s">
        <v>432</v>
      </c>
      <c r="G652" s="68">
        <v>839</v>
      </c>
      <c r="H652" s="100" t="str">
        <f>MID(Page012[[#This Row],[Column4]],SEARCH("(",Page012[[#This Row],[Column4]])+1,SEARCH(")",Page012[[#This Row],[Column4]])-SEARCH("(",Page012[[#This Row],[Column4]])-1)</f>
        <v>1219</v>
      </c>
      <c r="I652" s="68">
        <v>1219</v>
      </c>
      <c r="J652" s="68">
        <f t="shared" si="41"/>
        <v>0</v>
      </c>
      <c r="K652" s="68">
        <f t="shared" si="40"/>
        <v>0</v>
      </c>
      <c r="L652" s="100">
        <f t="shared" si="42"/>
        <v>-0.42486133646629831</v>
      </c>
      <c r="M652" s="68">
        <f t="shared" si="43"/>
        <v>10</v>
      </c>
    </row>
    <row r="653" spans="1:13">
      <c r="A653" s="100" t="str">
        <f>MID(Page012[[#This Row],[Column5]],SEARCH("(",Page012[[#This Row],[Column5]])+1,SEARCH(")",Page012[[#This Row],[Column5]])-SEARCH("(",Page012[[#This Row],[Column5]])-1)</f>
        <v>30.18</v>
      </c>
      <c r="B653" s="68" t="s">
        <v>504</v>
      </c>
      <c r="C653" s="68" t="s">
        <v>292</v>
      </c>
      <c r="D653" s="68" t="s">
        <v>292</v>
      </c>
      <c r="E653" s="68" t="s">
        <v>505</v>
      </c>
      <c r="F653" s="68" t="s">
        <v>455</v>
      </c>
      <c r="G653" s="68">
        <v>884.8</v>
      </c>
      <c r="H653" s="100" t="str">
        <f>MID(Page012[[#This Row],[Column4]],SEARCH("(",Page012[[#This Row],[Column4]])+1,SEARCH(")",Page012[[#This Row],[Column4]])-SEARCH("(",Page012[[#This Row],[Column4]])-1)</f>
        <v>1219</v>
      </c>
      <c r="I653" s="68">
        <v>1219</v>
      </c>
      <c r="J653" s="68">
        <f t="shared" si="41"/>
        <v>0</v>
      </c>
      <c r="K653" s="68">
        <f t="shared" si="40"/>
        <v>0</v>
      </c>
      <c r="L653" s="100">
        <f t="shared" si="42"/>
        <v>-0.42486133646629831</v>
      </c>
      <c r="M653" s="68">
        <f t="shared" si="43"/>
        <v>10</v>
      </c>
    </row>
    <row r="654" spans="1:13">
      <c r="A654" s="100" t="str">
        <f>MID(Page012[[#This Row],[Column5]],SEARCH("(",Page012[[#This Row],[Column5]])+1,SEARCH(")",Page012[[#This Row],[Column5]])-SEARCH("(",Page012[[#This Row],[Column5]])-1)</f>
        <v>31.75</v>
      </c>
      <c r="B654" s="68" t="s">
        <v>504</v>
      </c>
      <c r="C654" s="68" t="s">
        <v>292</v>
      </c>
      <c r="D654" s="68" t="s">
        <v>292</v>
      </c>
      <c r="E654" s="68" t="s">
        <v>505</v>
      </c>
      <c r="F654" s="68" t="s">
        <v>433</v>
      </c>
      <c r="G654" s="68">
        <v>929.6</v>
      </c>
      <c r="H654" s="100" t="str">
        <f>MID(Page012[[#This Row],[Column4]],SEARCH("(",Page012[[#This Row],[Column4]])+1,SEARCH(")",Page012[[#This Row],[Column4]])-SEARCH("(",Page012[[#This Row],[Column4]])-1)</f>
        <v>1219</v>
      </c>
      <c r="I654" s="68">
        <v>1219</v>
      </c>
      <c r="J654" s="68">
        <f t="shared" si="41"/>
        <v>0</v>
      </c>
      <c r="K654" s="68">
        <f t="shared" si="40"/>
        <v>0</v>
      </c>
      <c r="L654" s="100">
        <f t="shared" si="42"/>
        <v>-0.42486133646629831</v>
      </c>
      <c r="M654" s="68">
        <f t="shared" si="43"/>
        <v>10</v>
      </c>
    </row>
    <row r="655" spans="1:13">
      <c r="A655" s="100" t="str">
        <f>MID(Page012[[#This Row],[Column5]],SEARCH("(",Page012[[#This Row],[Column5]])+1,SEARCH(")",Page012[[#This Row],[Column5]])-SEARCH("(",Page012[[#This Row],[Column5]])-1)</f>
        <v>9.53</v>
      </c>
      <c r="B655" s="68" t="s">
        <v>506</v>
      </c>
      <c r="C655" s="68" t="s">
        <v>292</v>
      </c>
      <c r="D655" s="68" t="s">
        <v>292</v>
      </c>
      <c r="E655" s="68" t="s">
        <v>507</v>
      </c>
      <c r="F655" s="68" t="s">
        <v>376</v>
      </c>
      <c r="G655" s="68">
        <v>308.23</v>
      </c>
      <c r="H655" s="100" t="str">
        <f>MID(Page012[[#This Row],[Column4]],SEARCH("(",Page012[[#This Row],[Column4]])+1,SEARCH(")",Page012[[#This Row],[Column4]])-SEARCH("(",Page012[[#This Row],[Column4]])-1)</f>
        <v>1321</v>
      </c>
      <c r="I655" s="68">
        <v>1321</v>
      </c>
      <c r="J655" s="68">
        <f t="shared" si="41"/>
        <v>0</v>
      </c>
      <c r="K655" s="68">
        <f t="shared" si="40"/>
        <v>0</v>
      </c>
      <c r="L655" s="100">
        <f t="shared" si="42"/>
        <v>-0.42486133646629831</v>
      </c>
      <c r="M655" s="68">
        <f t="shared" si="43"/>
        <v>10</v>
      </c>
    </row>
    <row r="656" spans="1:13">
      <c r="A656" s="100" t="str">
        <f>MID(Page012[[#This Row],[Column5]],SEARCH("(",Page012[[#This Row],[Column5]])+1,SEARCH(")",Page012[[#This Row],[Column5]])-SEARCH("(",Page012[[#This Row],[Column5]])-1)</f>
        <v>10.31</v>
      </c>
      <c r="B656" s="68" t="s">
        <v>506</v>
      </c>
      <c r="C656" s="68" t="s">
        <v>292</v>
      </c>
      <c r="D656" s="68" t="s">
        <v>292</v>
      </c>
      <c r="E656" s="68" t="s">
        <v>507</v>
      </c>
      <c r="F656" s="68" t="s">
        <v>417</v>
      </c>
      <c r="G656" s="68">
        <v>333.26</v>
      </c>
      <c r="H656" s="100" t="str">
        <f>MID(Page012[[#This Row],[Column4]],SEARCH("(",Page012[[#This Row],[Column4]])+1,SEARCH(")",Page012[[#This Row],[Column4]])-SEARCH("(",Page012[[#This Row],[Column4]])-1)</f>
        <v>1321</v>
      </c>
      <c r="I656" s="68">
        <v>1321</v>
      </c>
      <c r="J656" s="68">
        <f t="shared" si="41"/>
        <v>0</v>
      </c>
      <c r="K656" s="68">
        <f t="shared" si="40"/>
        <v>0</v>
      </c>
      <c r="L656" s="100">
        <f t="shared" si="42"/>
        <v>-0.42486133646629831</v>
      </c>
      <c r="M656" s="68">
        <f t="shared" si="43"/>
        <v>10</v>
      </c>
    </row>
    <row r="657" spans="1:13">
      <c r="A657" s="100" t="str">
        <f>MID(Page012[[#This Row],[Column5]],SEARCH("(",Page012[[#This Row],[Column5]])+1,SEARCH(")",Page012[[#This Row],[Column5]])-SEARCH("(",Page012[[#This Row],[Column5]])-1)</f>
        <v>11.13</v>
      </c>
      <c r="B657" s="68" t="s">
        <v>506</v>
      </c>
      <c r="C657" s="68" t="s">
        <v>292</v>
      </c>
      <c r="D657" s="68" t="s">
        <v>292</v>
      </c>
      <c r="E657" s="68" t="s">
        <v>507</v>
      </c>
      <c r="F657" s="68" t="s">
        <v>381</v>
      </c>
      <c r="G657" s="68">
        <v>359.5</v>
      </c>
      <c r="H657" s="100" t="str">
        <f>MID(Page012[[#This Row],[Column4]],SEARCH("(",Page012[[#This Row],[Column4]])+1,SEARCH(")",Page012[[#This Row],[Column4]])-SEARCH("(",Page012[[#This Row],[Column4]])-1)</f>
        <v>1321</v>
      </c>
      <c r="I657" s="68">
        <v>1321</v>
      </c>
      <c r="J657" s="68">
        <f t="shared" si="41"/>
        <v>0</v>
      </c>
      <c r="K657" s="68">
        <f t="shared" si="40"/>
        <v>0</v>
      </c>
      <c r="L657" s="100">
        <f t="shared" si="42"/>
        <v>-0.42486133646629831</v>
      </c>
      <c r="M657" s="68">
        <f t="shared" si="43"/>
        <v>10</v>
      </c>
    </row>
    <row r="658" spans="1:13">
      <c r="A658" s="100" t="str">
        <f>MID(Page012[[#This Row],[Column5]],SEARCH("(",Page012[[#This Row],[Column5]])+1,SEARCH(")",Page012[[#This Row],[Column5]])-SEARCH("(",Page012[[#This Row],[Column5]])-1)</f>
        <v>11.91</v>
      </c>
      <c r="B658" s="68" t="s">
        <v>506</v>
      </c>
      <c r="C658" s="68" t="s">
        <v>292</v>
      </c>
      <c r="D658" s="68" t="s">
        <v>292</v>
      </c>
      <c r="E658" s="68" t="s">
        <v>507</v>
      </c>
      <c r="F658" s="68" t="s">
        <v>444</v>
      </c>
      <c r="G658" s="68">
        <v>384.5</v>
      </c>
      <c r="H658" s="100" t="str">
        <f>MID(Page012[[#This Row],[Column4]],SEARCH("(",Page012[[#This Row],[Column4]])+1,SEARCH(")",Page012[[#This Row],[Column4]])-SEARCH("(",Page012[[#This Row],[Column4]])-1)</f>
        <v>1321</v>
      </c>
      <c r="I658" s="68">
        <v>1321</v>
      </c>
      <c r="J658" s="68">
        <f t="shared" si="41"/>
        <v>0</v>
      </c>
      <c r="K658" s="68">
        <f t="shared" si="40"/>
        <v>0</v>
      </c>
      <c r="L658" s="100">
        <f t="shared" si="42"/>
        <v>-0.42486133646629831</v>
      </c>
      <c r="M658" s="68">
        <f t="shared" si="43"/>
        <v>10</v>
      </c>
    </row>
    <row r="659" spans="1:13">
      <c r="A659" s="100" t="str">
        <f>MID(Page012[[#This Row],[Column5]],SEARCH("(",Page012[[#This Row],[Column5]])+1,SEARCH(")",Page012[[#This Row],[Column5]])-SEARCH("(",Page012[[#This Row],[Column5]])-1)</f>
        <v>12.70</v>
      </c>
      <c r="B659" s="68" t="s">
        <v>506</v>
      </c>
      <c r="C659" s="68" t="s">
        <v>292</v>
      </c>
      <c r="D659" s="68" t="s">
        <v>292</v>
      </c>
      <c r="E659" s="68" t="s">
        <v>507</v>
      </c>
      <c r="F659" s="68" t="s">
        <v>399</v>
      </c>
      <c r="G659" s="68">
        <v>409.7</v>
      </c>
      <c r="H659" s="100" t="str">
        <f>MID(Page012[[#This Row],[Column4]],SEARCH("(",Page012[[#This Row],[Column4]])+1,SEARCH(")",Page012[[#This Row],[Column4]])-SEARCH("(",Page012[[#This Row],[Column4]])-1)</f>
        <v>1321</v>
      </c>
      <c r="I659" s="68">
        <v>1321</v>
      </c>
      <c r="J659" s="68">
        <f t="shared" si="41"/>
        <v>0</v>
      </c>
      <c r="K659" s="68">
        <f t="shared" si="40"/>
        <v>0</v>
      </c>
      <c r="L659" s="100">
        <f t="shared" si="42"/>
        <v>-0.42486133646629831</v>
      </c>
      <c r="M659" s="68">
        <f t="shared" si="43"/>
        <v>10</v>
      </c>
    </row>
    <row r="660" spans="1:13">
      <c r="A660" s="100" t="str">
        <f>MID(Page012[[#This Row],[Column5]],SEARCH("(",Page012[[#This Row],[Column5]])+1,SEARCH(")",Page012[[#This Row],[Column5]])-SEARCH("(",Page012[[#This Row],[Column5]])-1)</f>
        <v>14.27</v>
      </c>
      <c r="B660" s="68" t="s">
        <v>506</v>
      </c>
      <c r="C660" s="68" t="s">
        <v>292</v>
      </c>
      <c r="D660" s="68" t="s">
        <v>292</v>
      </c>
      <c r="E660" s="68" t="s">
        <v>507</v>
      </c>
      <c r="F660" s="68" t="s">
        <v>406</v>
      </c>
      <c r="G660" s="68">
        <v>459.6</v>
      </c>
      <c r="H660" s="100" t="str">
        <f>MID(Page012[[#This Row],[Column4]],SEARCH("(",Page012[[#This Row],[Column4]])+1,SEARCH(")",Page012[[#This Row],[Column4]])-SEARCH("(",Page012[[#This Row],[Column4]])-1)</f>
        <v>1321</v>
      </c>
      <c r="I660" s="68">
        <v>1321</v>
      </c>
      <c r="J660" s="68">
        <f t="shared" si="41"/>
        <v>0</v>
      </c>
      <c r="K660" s="68">
        <f t="shared" si="40"/>
        <v>0</v>
      </c>
      <c r="L660" s="100">
        <f t="shared" si="42"/>
        <v>-0.42486133646629831</v>
      </c>
      <c r="M660" s="68">
        <f t="shared" si="43"/>
        <v>10</v>
      </c>
    </row>
    <row r="661" spans="1:13">
      <c r="A661" s="100" t="str">
        <f>MID(Page012[[#This Row],[Column5]],SEARCH("(",Page012[[#This Row],[Column5]])+1,SEARCH(")",Page012[[#This Row],[Column5]])-SEARCH("(",Page012[[#This Row],[Column5]])-1)</f>
        <v>15.88</v>
      </c>
      <c r="B661" s="68" t="s">
        <v>506</v>
      </c>
      <c r="C661" s="68" t="s">
        <v>292</v>
      </c>
      <c r="D661" s="68" t="s">
        <v>292</v>
      </c>
      <c r="E661" s="68" t="s">
        <v>507</v>
      </c>
      <c r="F661" s="68" t="s">
        <v>400</v>
      </c>
      <c r="G661" s="68">
        <v>511.12</v>
      </c>
      <c r="H661" s="100" t="str">
        <f>MID(Page012[[#This Row],[Column4]],SEARCH("(",Page012[[#This Row],[Column4]])+1,SEARCH(")",Page012[[#This Row],[Column4]])-SEARCH("(",Page012[[#This Row],[Column4]])-1)</f>
        <v>1321</v>
      </c>
      <c r="I661" s="68">
        <v>1321</v>
      </c>
      <c r="J661" s="68">
        <f t="shared" si="41"/>
        <v>0</v>
      </c>
      <c r="K661" s="68">
        <f t="shared" si="40"/>
        <v>0</v>
      </c>
      <c r="L661" s="100">
        <f t="shared" si="42"/>
        <v>-0.42486133646629831</v>
      </c>
      <c r="M661" s="68">
        <f t="shared" si="43"/>
        <v>10</v>
      </c>
    </row>
    <row r="662" spans="1:13">
      <c r="A662" s="100" t="str">
        <f>MID(Page012[[#This Row],[Column5]],SEARCH("(",Page012[[#This Row],[Column5]])+1,SEARCH(")",Page012[[#This Row],[Column5]])-SEARCH("(",Page012[[#This Row],[Column5]])-1)</f>
        <v>17.48</v>
      </c>
      <c r="B662" s="68" t="s">
        <v>506</v>
      </c>
      <c r="C662" s="68" t="s">
        <v>292</v>
      </c>
      <c r="D662" s="68" t="s">
        <v>292</v>
      </c>
      <c r="E662" s="68" t="s">
        <v>507</v>
      </c>
      <c r="F662" s="68" t="s">
        <v>438</v>
      </c>
      <c r="G662" s="68">
        <v>561.9</v>
      </c>
      <c r="H662" s="100" t="str">
        <f>MID(Page012[[#This Row],[Column4]],SEARCH("(",Page012[[#This Row],[Column4]])+1,SEARCH(")",Page012[[#This Row],[Column4]])-SEARCH("(",Page012[[#This Row],[Column4]])-1)</f>
        <v>1321</v>
      </c>
      <c r="I662" s="68">
        <v>1321</v>
      </c>
      <c r="J662" s="68">
        <f t="shared" si="41"/>
        <v>0</v>
      </c>
      <c r="K662" s="68">
        <f t="shared" si="40"/>
        <v>0</v>
      </c>
      <c r="L662" s="100">
        <f t="shared" si="42"/>
        <v>-0.42486133646629831</v>
      </c>
      <c r="M662" s="68">
        <f t="shared" si="43"/>
        <v>10</v>
      </c>
    </row>
    <row r="663" spans="1:13">
      <c r="A663" s="100" t="str">
        <f>MID(Page012[[#This Row],[Column5]],SEARCH("(",Page012[[#This Row],[Column5]])+1,SEARCH(")",Page012[[#This Row],[Column5]])-SEARCH("(",Page012[[#This Row],[Column5]])-1)</f>
        <v>19.05</v>
      </c>
      <c r="B663" s="68" t="s">
        <v>506</v>
      </c>
      <c r="C663" s="68" t="s">
        <v>292</v>
      </c>
      <c r="D663" s="68" t="s">
        <v>292</v>
      </c>
      <c r="E663" s="68" t="s">
        <v>507</v>
      </c>
      <c r="F663" s="68" t="s">
        <v>401</v>
      </c>
      <c r="G663" s="68">
        <v>611</v>
      </c>
      <c r="H663" s="100" t="str">
        <f>MID(Page012[[#This Row],[Column4]],SEARCH("(",Page012[[#This Row],[Column4]])+1,SEARCH(")",Page012[[#This Row],[Column4]])-SEARCH("(",Page012[[#This Row],[Column4]])-1)</f>
        <v>1321</v>
      </c>
      <c r="I663" s="68">
        <v>1321</v>
      </c>
      <c r="J663" s="68">
        <f t="shared" si="41"/>
        <v>0</v>
      </c>
      <c r="K663" s="68">
        <f t="shared" si="40"/>
        <v>0</v>
      </c>
      <c r="L663" s="100">
        <f t="shared" si="42"/>
        <v>-0.42486133646629831</v>
      </c>
      <c r="M663" s="68">
        <f t="shared" si="43"/>
        <v>10</v>
      </c>
    </row>
    <row r="664" spans="1:13">
      <c r="A664" s="100" t="str">
        <f>MID(Page012[[#This Row],[Column5]],SEARCH("(",Page012[[#This Row],[Column5]])+1,SEARCH(")",Page012[[#This Row],[Column5]])-SEARCH("(",Page012[[#This Row],[Column5]])-1)</f>
        <v>20.62</v>
      </c>
      <c r="B664" s="68" t="s">
        <v>506</v>
      </c>
      <c r="C664" s="68" t="s">
        <v>292</v>
      </c>
      <c r="D664" s="68" t="s">
        <v>292</v>
      </c>
      <c r="E664" s="68" t="s">
        <v>507</v>
      </c>
      <c r="F664" s="68" t="s">
        <v>421</v>
      </c>
      <c r="G664" s="68">
        <v>661</v>
      </c>
      <c r="H664" s="100" t="str">
        <f>MID(Page012[[#This Row],[Column4]],SEARCH("(",Page012[[#This Row],[Column4]])+1,SEARCH(")",Page012[[#This Row],[Column4]])-SEARCH("(",Page012[[#This Row],[Column4]])-1)</f>
        <v>1321</v>
      </c>
      <c r="I664" s="68">
        <v>1321</v>
      </c>
      <c r="J664" s="68">
        <f t="shared" si="41"/>
        <v>0</v>
      </c>
      <c r="K664" s="68">
        <f t="shared" si="40"/>
        <v>0</v>
      </c>
      <c r="L664" s="100">
        <f t="shared" si="42"/>
        <v>-0.42486133646629831</v>
      </c>
      <c r="M664" s="68">
        <f t="shared" si="43"/>
        <v>10</v>
      </c>
    </row>
    <row r="665" spans="1:13">
      <c r="A665" s="100" t="str">
        <f>MID(Page012[[#This Row],[Column5]],SEARCH("(",Page012[[#This Row],[Column5]])+1,SEARCH(")",Page012[[#This Row],[Column5]])-SEARCH("(",Page012[[#This Row],[Column5]])-1)</f>
        <v>22.23</v>
      </c>
      <c r="B665" s="68" t="s">
        <v>506</v>
      </c>
      <c r="C665" s="68" t="s">
        <v>292</v>
      </c>
      <c r="D665" s="68" t="s">
        <v>292</v>
      </c>
      <c r="E665" s="68" t="s">
        <v>507</v>
      </c>
      <c r="F665" s="68" t="s">
        <v>409</v>
      </c>
      <c r="G665" s="68">
        <v>712</v>
      </c>
      <c r="H665" s="100" t="str">
        <f>MID(Page012[[#This Row],[Column4]],SEARCH("(",Page012[[#This Row],[Column4]])+1,SEARCH(")",Page012[[#This Row],[Column4]])-SEARCH("(",Page012[[#This Row],[Column4]])-1)</f>
        <v>1321</v>
      </c>
      <c r="I665" s="68">
        <v>1321</v>
      </c>
      <c r="J665" s="68">
        <f t="shared" si="41"/>
        <v>0</v>
      </c>
      <c r="K665" s="68">
        <f t="shared" si="40"/>
        <v>0</v>
      </c>
      <c r="L665" s="100">
        <f t="shared" si="42"/>
        <v>-0.42486133646629831</v>
      </c>
      <c r="M665" s="68">
        <f t="shared" si="43"/>
        <v>10</v>
      </c>
    </row>
    <row r="666" spans="1:13">
      <c r="A666" s="100" t="str">
        <f>MID(Page012[[#This Row],[Column5]],SEARCH("(",Page012[[#This Row],[Column5]])+1,SEARCH(")",Page012[[#This Row],[Column5]])-SEARCH("(",Page012[[#This Row],[Column5]])-1)</f>
        <v>23.83</v>
      </c>
      <c r="B666" s="68" t="s">
        <v>506</v>
      </c>
      <c r="C666" s="68" t="s">
        <v>292</v>
      </c>
      <c r="D666" s="68" t="s">
        <v>292</v>
      </c>
      <c r="E666" s="68" t="s">
        <v>507</v>
      </c>
      <c r="F666" s="68" t="s">
        <v>431</v>
      </c>
      <c r="G666" s="68">
        <v>762</v>
      </c>
      <c r="H666" s="100" t="str">
        <f>MID(Page012[[#This Row],[Column4]],SEARCH("(",Page012[[#This Row],[Column4]])+1,SEARCH(")",Page012[[#This Row],[Column4]])-SEARCH("(",Page012[[#This Row],[Column4]])-1)</f>
        <v>1321</v>
      </c>
      <c r="I666" s="68">
        <v>1321</v>
      </c>
      <c r="J666" s="68">
        <f t="shared" si="41"/>
        <v>0</v>
      </c>
      <c r="K666" s="68">
        <f t="shared" si="40"/>
        <v>0</v>
      </c>
      <c r="L666" s="100">
        <f t="shared" si="42"/>
        <v>-0.42486133646629831</v>
      </c>
      <c r="M666" s="68">
        <f t="shared" si="43"/>
        <v>10</v>
      </c>
    </row>
    <row r="667" spans="1:13">
      <c r="A667" s="100" t="str">
        <f>MID(Page012[[#This Row],[Column5]],SEARCH("(",Page012[[#This Row],[Column5]])+1,SEARCH(")",Page012[[#This Row],[Column5]])-SEARCH("(",Page012[[#This Row],[Column5]])-1)</f>
        <v>25.40</v>
      </c>
      <c r="B667" s="68" t="s">
        <v>506</v>
      </c>
      <c r="C667" s="68" t="s">
        <v>292</v>
      </c>
      <c r="D667" s="68" t="s">
        <v>292</v>
      </c>
      <c r="E667" s="68" t="s">
        <v>507</v>
      </c>
      <c r="F667" s="68" t="s">
        <v>423</v>
      </c>
      <c r="G667" s="68">
        <v>811</v>
      </c>
      <c r="H667" s="100" t="str">
        <f>MID(Page012[[#This Row],[Column4]],SEARCH("(",Page012[[#This Row],[Column4]])+1,SEARCH(")",Page012[[#This Row],[Column4]])-SEARCH("(",Page012[[#This Row],[Column4]])-1)</f>
        <v>1321</v>
      </c>
      <c r="I667" s="68">
        <v>1321</v>
      </c>
      <c r="J667" s="68">
        <f t="shared" si="41"/>
        <v>0</v>
      </c>
      <c r="K667" s="68">
        <f t="shared" si="40"/>
        <v>0</v>
      </c>
      <c r="L667" s="100">
        <f t="shared" si="42"/>
        <v>-0.42486133646629831</v>
      </c>
      <c r="M667" s="68">
        <f t="shared" si="43"/>
        <v>10</v>
      </c>
    </row>
    <row r="668" spans="1:13">
      <c r="A668" s="100" t="str">
        <f>MID(Page012[[#This Row],[Column5]],SEARCH("(",Page012[[#This Row],[Column5]])+1,SEARCH(")",Page012[[#This Row],[Column5]])-SEARCH("(",Page012[[#This Row],[Column5]])-1)</f>
        <v>26.97</v>
      </c>
      <c r="B668" s="68" t="s">
        <v>506</v>
      </c>
      <c r="C668" s="68" t="s">
        <v>292</v>
      </c>
      <c r="D668" s="68" t="s">
        <v>292</v>
      </c>
      <c r="E668" s="68" t="s">
        <v>507</v>
      </c>
      <c r="F668" s="68" t="s">
        <v>439</v>
      </c>
      <c r="G668" s="68">
        <v>860.69</v>
      </c>
      <c r="H668" s="100" t="str">
        <f>MID(Page012[[#This Row],[Column4]],SEARCH("(",Page012[[#This Row],[Column4]])+1,SEARCH(")",Page012[[#This Row],[Column4]])-SEARCH("(",Page012[[#This Row],[Column4]])-1)</f>
        <v>1321</v>
      </c>
      <c r="I668" s="68">
        <v>1321</v>
      </c>
      <c r="J668" s="68">
        <f t="shared" si="41"/>
        <v>0</v>
      </c>
      <c r="K668" s="68">
        <f t="shared" si="40"/>
        <v>0</v>
      </c>
      <c r="L668" s="100">
        <f t="shared" si="42"/>
        <v>-0.42486133646629831</v>
      </c>
      <c r="M668" s="68">
        <f t="shared" si="43"/>
        <v>10</v>
      </c>
    </row>
    <row r="669" spans="1:13">
      <c r="A669" s="100" t="str">
        <f>MID(Page012[[#This Row],[Column5]],SEARCH("(",Page012[[#This Row],[Column5]])+1,SEARCH(")",Page012[[#This Row],[Column5]])-SEARCH("(",Page012[[#This Row],[Column5]])-1)</f>
        <v>28.58</v>
      </c>
      <c r="B669" s="68" t="s">
        <v>506</v>
      </c>
      <c r="C669" s="68" t="s">
        <v>292</v>
      </c>
      <c r="D669" s="68" t="s">
        <v>292</v>
      </c>
      <c r="E669" s="68" t="s">
        <v>507</v>
      </c>
      <c r="F669" s="68" t="s">
        <v>432</v>
      </c>
      <c r="G669" s="68">
        <v>910.93</v>
      </c>
      <c r="H669" s="100" t="str">
        <f>MID(Page012[[#This Row],[Column4]],SEARCH("(",Page012[[#This Row],[Column4]])+1,SEARCH(")",Page012[[#This Row],[Column4]])-SEARCH("(",Page012[[#This Row],[Column4]])-1)</f>
        <v>1321</v>
      </c>
      <c r="I669" s="68">
        <v>1321</v>
      </c>
      <c r="J669" s="68">
        <f t="shared" si="41"/>
        <v>0</v>
      </c>
      <c r="K669" s="68">
        <f t="shared" si="40"/>
        <v>0</v>
      </c>
      <c r="L669" s="100">
        <f t="shared" si="42"/>
        <v>-0.42486133646629831</v>
      </c>
      <c r="M669" s="68">
        <f t="shared" si="43"/>
        <v>10</v>
      </c>
    </row>
    <row r="670" spans="1:13">
      <c r="A670" s="100" t="str">
        <f>MID(Page012[[#This Row],[Column5]],SEARCH("(",Page012[[#This Row],[Column5]])+1,SEARCH(")",Page012[[#This Row],[Column5]])-SEARCH("(",Page012[[#This Row],[Column5]])-1)</f>
        <v>30.18</v>
      </c>
      <c r="B670" s="68" t="s">
        <v>506</v>
      </c>
      <c r="C670" s="68" t="s">
        <v>292</v>
      </c>
      <c r="D670" s="68" t="s">
        <v>292</v>
      </c>
      <c r="E670" s="68" t="s">
        <v>507</v>
      </c>
      <c r="F670" s="68" t="s">
        <v>455</v>
      </c>
      <c r="G670" s="68">
        <v>960</v>
      </c>
      <c r="H670" s="100" t="str">
        <f>MID(Page012[[#This Row],[Column4]],SEARCH("(",Page012[[#This Row],[Column4]])+1,SEARCH(")",Page012[[#This Row],[Column4]])-SEARCH("(",Page012[[#This Row],[Column4]])-1)</f>
        <v>1321</v>
      </c>
      <c r="I670" s="68">
        <v>1321</v>
      </c>
      <c r="J670" s="68">
        <f t="shared" si="41"/>
        <v>0</v>
      </c>
      <c r="K670" s="68">
        <f t="shared" si="40"/>
        <v>0</v>
      </c>
      <c r="L670" s="100">
        <f t="shared" si="42"/>
        <v>-0.42486133646629831</v>
      </c>
      <c r="M670" s="68">
        <f t="shared" si="43"/>
        <v>10</v>
      </c>
    </row>
    <row r="671" spans="1:13">
      <c r="A671" s="100" t="str">
        <f>MID(Page012[[#This Row],[Column5]],SEARCH("(",Page012[[#This Row],[Column5]])+1,SEARCH(")",Page012[[#This Row],[Column5]])-SEARCH("(",Page012[[#This Row],[Column5]])-1)</f>
        <v>31.75</v>
      </c>
      <c r="B671" s="68" t="s">
        <v>506</v>
      </c>
      <c r="C671" s="68" t="s">
        <v>292</v>
      </c>
      <c r="D671" s="68" t="s">
        <v>292</v>
      </c>
      <c r="E671" s="68" t="s">
        <v>507</v>
      </c>
      <c r="F671" s="68" t="s">
        <v>433</v>
      </c>
      <c r="G671" s="68">
        <v>1009.49</v>
      </c>
      <c r="H671" s="100" t="str">
        <f>MID(Page012[[#This Row],[Column4]],SEARCH("(",Page012[[#This Row],[Column4]])+1,SEARCH(")",Page012[[#This Row],[Column4]])-SEARCH("(",Page012[[#This Row],[Column4]])-1)</f>
        <v>1321</v>
      </c>
      <c r="I671" s="68">
        <v>1321</v>
      </c>
      <c r="J671" s="68">
        <f t="shared" si="41"/>
        <v>0</v>
      </c>
      <c r="K671" s="68">
        <f t="shared" si="40"/>
        <v>0</v>
      </c>
      <c r="L671" s="100">
        <f t="shared" si="42"/>
        <v>-0.42486133646629831</v>
      </c>
      <c r="M671" s="68">
        <f t="shared" si="43"/>
        <v>10</v>
      </c>
    </row>
    <row r="672" spans="1:13">
      <c r="A672" s="100" t="str">
        <f>MID(Page012[[#This Row],[Column5]],SEARCH("(",Page012[[#This Row],[Column5]])+1,SEARCH(")",Page012[[#This Row],[Column5]])-SEARCH("(",Page012[[#This Row],[Column5]])-1)</f>
        <v>9.53</v>
      </c>
      <c r="B672" s="68" t="s">
        <v>508</v>
      </c>
      <c r="C672" s="68" t="s">
        <v>292</v>
      </c>
      <c r="D672" s="68" t="s">
        <v>292</v>
      </c>
      <c r="E672" s="68" t="s">
        <v>509</v>
      </c>
      <c r="F672" s="68" t="s">
        <v>376</v>
      </c>
      <c r="G672" s="68">
        <v>331.9</v>
      </c>
      <c r="H672" s="100" t="str">
        <f>MID(Page012[[#This Row],[Column4]],SEARCH("(",Page012[[#This Row],[Column4]])+1,SEARCH(")",Page012[[#This Row],[Column4]])-SEARCH("(",Page012[[#This Row],[Column4]])-1)</f>
        <v>1422</v>
      </c>
      <c r="I672" s="68">
        <v>1422</v>
      </c>
      <c r="J672" s="68">
        <f t="shared" si="41"/>
        <v>0</v>
      </c>
      <c r="K672" s="68">
        <f t="shared" si="40"/>
        <v>0</v>
      </c>
      <c r="L672" s="100">
        <f t="shared" si="42"/>
        <v>-0.42486133646629831</v>
      </c>
      <c r="M672" s="68">
        <f t="shared" si="43"/>
        <v>10</v>
      </c>
    </row>
    <row r="673" spans="1:13">
      <c r="A673" s="100" t="str">
        <f>MID(Page012[[#This Row],[Column5]],SEARCH("(",Page012[[#This Row],[Column5]])+1,SEARCH(")",Page012[[#This Row],[Column5]])-SEARCH("(",Page012[[#This Row],[Column5]])-1)</f>
        <v>10.31</v>
      </c>
      <c r="B673" s="68" t="s">
        <v>508</v>
      </c>
      <c r="C673" s="68" t="s">
        <v>292</v>
      </c>
      <c r="D673" s="68" t="s">
        <v>292</v>
      </c>
      <c r="E673" s="68" t="s">
        <v>509</v>
      </c>
      <c r="F673" s="68" t="s">
        <v>417</v>
      </c>
      <c r="G673" s="68">
        <v>358</v>
      </c>
      <c r="H673" s="100" t="str">
        <f>MID(Page012[[#This Row],[Column4]],SEARCH("(",Page012[[#This Row],[Column4]])+1,SEARCH(")",Page012[[#This Row],[Column4]])-SEARCH("(",Page012[[#This Row],[Column4]])-1)</f>
        <v>1422</v>
      </c>
      <c r="I673" s="68">
        <v>1422</v>
      </c>
      <c r="J673" s="68">
        <f t="shared" si="41"/>
        <v>0</v>
      </c>
      <c r="K673" s="68">
        <f t="shared" si="40"/>
        <v>0</v>
      </c>
      <c r="L673" s="100">
        <f t="shared" si="42"/>
        <v>-0.42486133646629831</v>
      </c>
      <c r="M673" s="68">
        <f t="shared" si="43"/>
        <v>10</v>
      </c>
    </row>
    <row r="674" spans="1:13">
      <c r="A674" s="100" t="str">
        <f>MID(Page012[[#This Row],[Column5]],SEARCH("(",Page012[[#This Row],[Column5]])+1,SEARCH(")",Page012[[#This Row],[Column5]])-SEARCH("(",Page012[[#This Row],[Column5]])-1)</f>
        <v>11.13</v>
      </c>
      <c r="B674" s="68" t="s">
        <v>508</v>
      </c>
      <c r="C674" s="68" t="s">
        <v>292</v>
      </c>
      <c r="D674" s="68" t="s">
        <v>292</v>
      </c>
      <c r="E674" s="68" t="s">
        <v>509</v>
      </c>
      <c r="F674" s="68" t="s">
        <v>381</v>
      </c>
      <c r="G674" s="68">
        <v>387</v>
      </c>
      <c r="H674" s="100" t="str">
        <f>MID(Page012[[#This Row],[Column4]],SEARCH("(",Page012[[#This Row],[Column4]])+1,SEARCH(")",Page012[[#This Row],[Column4]])-SEARCH("(",Page012[[#This Row],[Column4]])-1)</f>
        <v>1422</v>
      </c>
      <c r="I674" s="68">
        <v>1422</v>
      </c>
      <c r="J674" s="68">
        <f t="shared" si="41"/>
        <v>0</v>
      </c>
      <c r="K674" s="68">
        <f t="shared" si="40"/>
        <v>0</v>
      </c>
      <c r="L674" s="100">
        <f t="shared" si="42"/>
        <v>-0.42486133646629831</v>
      </c>
      <c r="M674" s="68">
        <f t="shared" si="43"/>
        <v>10</v>
      </c>
    </row>
    <row r="675" spans="1:13">
      <c r="A675" s="100" t="str">
        <f>MID(Page012[[#This Row],[Column5]],SEARCH("(",Page012[[#This Row],[Column5]])+1,SEARCH(")",Page012[[#This Row],[Column5]])-SEARCH("(",Page012[[#This Row],[Column5]])-1)</f>
        <v>11.91</v>
      </c>
      <c r="B675" s="68" t="s">
        <v>508</v>
      </c>
      <c r="C675" s="68" t="s">
        <v>292</v>
      </c>
      <c r="D675" s="68" t="s">
        <v>292</v>
      </c>
      <c r="E675" s="68" t="s">
        <v>509</v>
      </c>
      <c r="F675" s="68" t="s">
        <v>444</v>
      </c>
      <c r="G675" s="68">
        <v>414</v>
      </c>
      <c r="H675" s="100" t="str">
        <f>MID(Page012[[#This Row],[Column4]],SEARCH("(",Page012[[#This Row],[Column4]])+1,SEARCH(")",Page012[[#This Row],[Column4]])-SEARCH("(",Page012[[#This Row],[Column4]])-1)</f>
        <v>1422</v>
      </c>
      <c r="I675" s="68">
        <v>1422</v>
      </c>
      <c r="J675" s="68">
        <f t="shared" si="41"/>
        <v>0</v>
      </c>
      <c r="K675" s="68">
        <f t="shared" si="40"/>
        <v>0</v>
      </c>
      <c r="L675" s="100">
        <f t="shared" si="42"/>
        <v>-0.42486133646629831</v>
      </c>
      <c r="M675" s="68">
        <f t="shared" si="43"/>
        <v>10</v>
      </c>
    </row>
    <row r="676" spans="1:13">
      <c r="A676" s="100" t="str">
        <f>MID(Page012[[#This Row],[Column5]],SEARCH("(",Page012[[#This Row],[Column5]])+1,SEARCH(")",Page012[[#This Row],[Column5]])-SEARCH("(",Page012[[#This Row],[Column5]])-1)</f>
        <v>12.70</v>
      </c>
      <c r="B676" s="68" t="s">
        <v>508</v>
      </c>
      <c r="C676" s="68" t="s">
        <v>292</v>
      </c>
      <c r="D676" s="68" t="s">
        <v>292</v>
      </c>
      <c r="E676" s="68" t="s">
        <v>509</v>
      </c>
      <c r="F676" s="68" t="s">
        <v>399</v>
      </c>
      <c r="G676" s="68">
        <v>441</v>
      </c>
      <c r="H676" s="100" t="str">
        <f>MID(Page012[[#This Row],[Column4]],SEARCH("(",Page012[[#This Row],[Column4]])+1,SEARCH(")",Page012[[#This Row],[Column4]])-SEARCH("(",Page012[[#This Row],[Column4]])-1)</f>
        <v>1422</v>
      </c>
      <c r="I676" s="68">
        <v>1422</v>
      </c>
      <c r="J676" s="68">
        <f t="shared" si="41"/>
        <v>0</v>
      </c>
      <c r="K676" s="68">
        <f t="shared" si="40"/>
        <v>0</v>
      </c>
      <c r="L676" s="100">
        <f t="shared" si="42"/>
        <v>-0.42486133646629831</v>
      </c>
      <c r="M676" s="68">
        <f t="shared" si="43"/>
        <v>10</v>
      </c>
    </row>
    <row r="677" spans="1:13">
      <c r="A677" s="100" t="str">
        <f>MID(Page012[[#This Row],[Column5]],SEARCH("(",Page012[[#This Row],[Column5]])+1,SEARCH(")",Page012[[#This Row],[Column5]])-SEARCH("(",Page012[[#This Row],[Column5]])-1)</f>
        <v>14.27</v>
      </c>
      <c r="B677" s="68" t="s">
        <v>508</v>
      </c>
      <c r="C677" s="68" t="s">
        <v>292</v>
      </c>
      <c r="D677" s="68" t="s">
        <v>292</v>
      </c>
      <c r="E677" s="68" t="s">
        <v>509</v>
      </c>
      <c r="F677" s="68" t="s">
        <v>406</v>
      </c>
      <c r="G677" s="68">
        <v>495</v>
      </c>
      <c r="H677" s="100" t="str">
        <f>MID(Page012[[#This Row],[Column4]],SEARCH("(",Page012[[#This Row],[Column4]])+1,SEARCH(")",Page012[[#This Row],[Column4]])-SEARCH("(",Page012[[#This Row],[Column4]])-1)</f>
        <v>1422</v>
      </c>
      <c r="I677" s="68">
        <v>1422</v>
      </c>
      <c r="J677" s="68">
        <f t="shared" si="41"/>
        <v>0</v>
      </c>
      <c r="K677" s="68">
        <f t="shared" si="40"/>
        <v>0</v>
      </c>
      <c r="L677" s="100">
        <f t="shared" si="42"/>
        <v>-0.42486133646629831</v>
      </c>
      <c r="M677" s="68">
        <f t="shared" si="43"/>
        <v>10</v>
      </c>
    </row>
    <row r="678" spans="1:13">
      <c r="A678" s="100" t="str">
        <f>MID(Page012[[#This Row],[Column5]],SEARCH("(",Page012[[#This Row],[Column5]])+1,SEARCH(")",Page012[[#This Row],[Column5]])-SEARCH("(",Page012[[#This Row],[Column5]])-1)</f>
        <v>15.88</v>
      </c>
      <c r="B678" s="68" t="s">
        <v>508</v>
      </c>
      <c r="C678" s="68" t="s">
        <v>292</v>
      </c>
      <c r="D678" s="68" t="s">
        <v>292</v>
      </c>
      <c r="E678" s="68" t="s">
        <v>509</v>
      </c>
      <c r="F678" s="68" t="s">
        <v>400</v>
      </c>
      <c r="G678" s="68">
        <v>550</v>
      </c>
      <c r="H678" s="100" t="str">
        <f>MID(Page012[[#This Row],[Column4]],SEARCH("(",Page012[[#This Row],[Column4]])+1,SEARCH(")",Page012[[#This Row],[Column4]])-SEARCH("(",Page012[[#This Row],[Column4]])-1)</f>
        <v>1422</v>
      </c>
      <c r="I678" s="68">
        <v>1422</v>
      </c>
      <c r="J678" s="68">
        <f t="shared" si="41"/>
        <v>0</v>
      </c>
      <c r="K678" s="68">
        <f t="shared" si="40"/>
        <v>0</v>
      </c>
      <c r="L678" s="100">
        <f t="shared" si="42"/>
        <v>-0.42486133646629831</v>
      </c>
      <c r="M678" s="68">
        <f t="shared" si="43"/>
        <v>10</v>
      </c>
    </row>
    <row r="679" spans="1:13">
      <c r="A679" s="100" t="str">
        <f>MID(Page012[[#This Row],[Column5]],SEARCH("(",Page012[[#This Row],[Column5]])+1,SEARCH(")",Page012[[#This Row],[Column5]])-SEARCH("(",Page012[[#This Row],[Column5]])-1)</f>
        <v>17.48</v>
      </c>
      <c r="B679" s="68" t="s">
        <v>508</v>
      </c>
      <c r="C679" s="68" t="s">
        <v>292</v>
      </c>
      <c r="D679" s="68" t="s">
        <v>292</v>
      </c>
      <c r="E679" s="68" t="s">
        <v>509</v>
      </c>
      <c r="F679" s="68" t="s">
        <v>438</v>
      </c>
      <c r="G679" s="68">
        <v>605</v>
      </c>
      <c r="H679" s="100" t="str">
        <f>MID(Page012[[#This Row],[Column4]],SEARCH("(",Page012[[#This Row],[Column4]])+1,SEARCH(")",Page012[[#This Row],[Column4]])-SEARCH("(",Page012[[#This Row],[Column4]])-1)</f>
        <v>1422</v>
      </c>
      <c r="I679" s="68">
        <v>1422</v>
      </c>
      <c r="J679" s="68">
        <f t="shared" si="41"/>
        <v>0</v>
      </c>
      <c r="K679" s="68">
        <f t="shared" si="40"/>
        <v>0</v>
      </c>
      <c r="L679" s="100">
        <f t="shared" si="42"/>
        <v>-0.42486133646629831</v>
      </c>
      <c r="M679" s="68">
        <f t="shared" si="43"/>
        <v>10</v>
      </c>
    </row>
    <row r="680" spans="1:13">
      <c r="A680" s="100" t="str">
        <f>MID(Page012[[#This Row],[Column5]],SEARCH("(",Page012[[#This Row],[Column5]])+1,SEARCH(")",Page012[[#This Row],[Column5]])-SEARCH("(",Page012[[#This Row],[Column5]])-1)</f>
        <v>19.05</v>
      </c>
      <c r="B680" s="68" t="s">
        <v>508</v>
      </c>
      <c r="C680" s="68" t="s">
        <v>292</v>
      </c>
      <c r="D680" s="68" t="s">
        <v>292</v>
      </c>
      <c r="E680" s="68" t="s">
        <v>509</v>
      </c>
      <c r="F680" s="68" t="s">
        <v>401</v>
      </c>
      <c r="G680" s="68">
        <v>659</v>
      </c>
      <c r="H680" s="100" t="str">
        <f>MID(Page012[[#This Row],[Column4]],SEARCH("(",Page012[[#This Row],[Column4]])+1,SEARCH(")",Page012[[#This Row],[Column4]])-SEARCH("(",Page012[[#This Row],[Column4]])-1)</f>
        <v>1422</v>
      </c>
      <c r="I680" s="68">
        <v>1422</v>
      </c>
      <c r="J680" s="68">
        <f t="shared" si="41"/>
        <v>0</v>
      </c>
      <c r="K680" s="68">
        <f t="shared" si="40"/>
        <v>0</v>
      </c>
      <c r="L680" s="100">
        <f t="shared" si="42"/>
        <v>-0.42486133646629831</v>
      </c>
      <c r="M680" s="68">
        <f t="shared" si="43"/>
        <v>10</v>
      </c>
    </row>
    <row r="681" spans="1:13">
      <c r="A681" s="100" t="str">
        <f>MID(Page012[[#This Row],[Column5]],SEARCH("(",Page012[[#This Row],[Column5]])+1,SEARCH(")",Page012[[#This Row],[Column5]])-SEARCH("(",Page012[[#This Row],[Column5]])-1)</f>
        <v>20.62</v>
      </c>
      <c r="B681" s="68" t="s">
        <v>508</v>
      </c>
      <c r="C681" s="68" t="s">
        <v>292</v>
      </c>
      <c r="D681" s="68" t="s">
        <v>292</v>
      </c>
      <c r="E681" s="68" t="s">
        <v>509</v>
      </c>
      <c r="F681" s="68" t="s">
        <v>421</v>
      </c>
      <c r="G681" s="68">
        <v>712.6</v>
      </c>
      <c r="H681" s="100" t="str">
        <f>MID(Page012[[#This Row],[Column4]],SEARCH("(",Page012[[#This Row],[Column4]])+1,SEARCH(")",Page012[[#This Row],[Column4]])-SEARCH("(",Page012[[#This Row],[Column4]])-1)</f>
        <v>1422</v>
      </c>
      <c r="I681" s="68">
        <v>1422</v>
      </c>
      <c r="J681" s="68">
        <f t="shared" si="41"/>
        <v>0</v>
      </c>
      <c r="K681" s="68">
        <f t="shared" si="40"/>
        <v>0</v>
      </c>
      <c r="L681" s="100">
        <f t="shared" si="42"/>
        <v>-0.42486133646629831</v>
      </c>
      <c r="M681" s="68">
        <f t="shared" si="43"/>
        <v>10</v>
      </c>
    </row>
    <row r="682" spans="1:13">
      <c r="A682" s="100" t="str">
        <f>MID(Page012[[#This Row],[Column5]],SEARCH("(",Page012[[#This Row],[Column5]])+1,SEARCH(")",Page012[[#This Row],[Column5]])-SEARCH("(",Page012[[#This Row],[Column5]])-1)</f>
        <v>22.23</v>
      </c>
      <c r="B682" s="68" t="s">
        <v>508</v>
      </c>
      <c r="C682" s="68" t="s">
        <v>292</v>
      </c>
      <c r="D682" s="68" t="s">
        <v>292</v>
      </c>
      <c r="E682" s="68" t="s">
        <v>509</v>
      </c>
      <c r="F682" s="68" t="s">
        <v>409</v>
      </c>
      <c r="G682" s="68">
        <v>767</v>
      </c>
      <c r="H682" s="100" t="str">
        <f>MID(Page012[[#This Row],[Column4]],SEARCH("(",Page012[[#This Row],[Column4]])+1,SEARCH(")",Page012[[#This Row],[Column4]])-SEARCH("(",Page012[[#This Row],[Column4]])-1)</f>
        <v>1422</v>
      </c>
      <c r="I682" s="68">
        <v>1422</v>
      </c>
      <c r="J682" s="68">
        <f t="shared" si="41"/>
        <v>0</v>
      </c>
      <c r="K682" s="68">
        <f t="shared" si="40"/>
        <v>0</v>
      </c>
      <c r="L682" s="100">
        <f t="shared" si="42"/>
        <v>-0.42486133646629831</v>
      </c>
      <c r="M682" s="68">
        <f t="shared" si="43"/>
        <v>10</v>
      </c>
    </row>
    <row r="683" spans="1:13">
      <c r="A683" s="100" t="str">
        <f>MID(Page012[[#This Row],[Column5]],SEARCH("(",Page012[[#This Row],[Column5]])+1,SEARCH(")",Page012[[#This Row],[Column5]])-SEARCH("(",Page012[[#This Row],[Column5]])-1)</f>
        <v>23.83</v>
      </c>
      <c r="B683" s="68" t="s">
        <v>508</v>
      </c>
      <c r="C683" s="68" t="s">
        <v>292</v>
      </c>
      <c r="D683" s="68" t="s">
        <v>292</v>
      </c>
      <c r="E683" s="68" t="s">
        <v>509</v>
      </c>
      <c r="F683" s="68" t="s">
        <v>431</v>
      </c>
      <c r="G683" s="68">
        <v>821</v>
      </c>
      <c r="H683" s="100" t="str">
        <f>MID(Page012[[#This Row],[Column4]],SEARCH("(",Page012[[#This Row],[Column4]])+1,SEARCH(")",Page012[[#This Row],[Column4]])-SEARCH("(",Page012[[#This Row],[Column4]])-1)</f>
        <v>1422</v>
      </c>
      <c r="I683" s="68">
        <v>1422</v>
      </c>
      <c r="J683" s="68">
        <f t="shared" si="41"/>
        <v>0</v>
      </c>
      <c r="K683" s="68">
        <f t="shared" si="40"/>
        <v>0</v>
      </c>
      <c r="L683" s="100">
        <f t="shared" si="42"/>
        <v>-0.42486133646629831</v>
      </c>
      <c r="M683" s="68">
        <f t="shared" si="43"/>
        <v>10</v>
      </c>
    </row>
    <row r="684" spans="1:13">
      <c r="A684" s="100" t="str">
        <f>MID(Page012[[#This Row],[Column5]],SEARCH("(",Page012[[#This Row],[Column5]])+1,SEARCH(")",Page012[[#This Row],[Column5]])-SEARCH("(",Page012[[#This Row],[Column5]])-1)</f>
        <v>25.40</v>
      </c>
      <c r="B684" s="68" t="s">
        <v>508</v>
      </c>
      <c r="C684" s="68" t="s">
        <v>292</v>
      </c>
      <c r="D684" s="68" t="s">
        <v>292</v>
      </c>
      <c r="E684" s="68" t="s">
        <v>509</v>
      </c>
      <c r="F684" s="68" t="s">
        <v>423</v>
      </c>
      <c r="G684" s="68">
        <v>874</v>
      </c>
      <c r="H684" s="100" t="str">
        <f>MID(Page012[[#This Row],[Column4]],SEARCH("(",Page012[[#This Row],[Column4]])+1,SEARCH(")",Page012[[#This Row],[Column4]])-SEARCH("(",Page012[[#This Row],[Column4]])-1)</f>
        <v>1422</v>
      </c>
      <c r="I684" s="68">
        <v>1422</v>
      </c>
      <c r="J684" s="68">
        <f t="shared" si="41"/>
        <v>0</v>
      </c>
      <c r="K684" s="68">
        <f t="shared" si="40"/>
        <v>0</v>
      </c>
      <c r="L684" s="100">
        <f t="shared" si="42"/>
        <v>-0.42486133646629831</v>
      </c>
      <c r="M684" s="68">
        <f t="shared" si="43"/>
        <v>10</v>
      </c>
    </row>
    <row r="685" spans="1:13">
      <c r="A685" s="100" t="str">
        <f>MID(Page012[[#This Row],[Column5]],SEARCH("(",Page012[[#This Row],[Column5]])+1,SEARCH(")",Page012[[#This Row],[Column5]])-SEARCH("(",Page012[[#This Row],[Column5]])-1)</f>
        <v>26.97</v>
      </c>
      <c r="B685" s="68" t="s">
        <v>508</v>
      </c>
      <c r="C685" s="68" t="s">
        <v>292</v>
      </c>
      <c r="D685" s="68" t="s">
        <v>292</v>
      </c>
      <c r="E685" s="68" t="s">
        <v>509</v>
      </c>
      <c r="F685" s="68" t="s">
        <v>439</v>
      </c>
      <c r="G685" s="68">
        <v>927</v>
      </c>
      <c r="H685" s="100" t="str">
        <f>MID(Page012[[#This Row],[Column4]],SEARCH("(",Page012[[#This Row],[Column4]])+1,SEARCH(")",Page012[[#This Row],[Column4]])-SEARCH("(",Page012[[#This Row],[Column4]])-1)</f>
        <v>1422</v>
      </c>
      <c r="I685" s="68">
        <v>1422</v>
      </c>
      <c r="J685" s="68">
        <f t="shared" si="41"/>
        <v>0</v>
      </c>
      <c r="K685" s="68">
        <f t="shared" si="40"/>
        <v>0</v>
      </c>
      <c r="L685" s="100">
        <f t="shared" si="42"/>
        <v>-0.42486133646629831</v>
      </c>
      <c r="M685" s="68">
        <f t="shared" si="43"/>
        <v>10</v>
      </c>
    </row>
    <row r="686" spans="1:13">
      <c r="A686" s="100" t="str">
        <f>MID(Page012[[#This Row],[Column5]],SEARCH("(",Page012[[#This Row],[Column5]])+1,SEARCH(")",Page012[[#This Row],[Column5]])-SEARCH("(",Page012[[#This Row],[Column5]])-1)</f>
        <v>28.58</v>
      </c>
      <c r="B686" s="68" t="s">
        <v>508</v>
      </c>
      <c r="C686" s="68" t="s">
        <v>292</v>
      </c>
      <c r="D686" s="68" t="s">
        <v>292</v>
      </c>
      <c r="E686" s="68" t="s">
        <v>509</v>
      </c>
      <c r="F686" s="68" t="s">
        <v>432</v>
      </c>
      <c r="G686" s="68">
        <v>982</v>
      </c>
      <c r="H686" s="100" t="str">
        <f>MID(Page012[[#This Row],[Column4]],SEARCH("(",Page012[[#This Row],[Column4]])+1,SEARCH(")",Page012[[#This Row],[Column4]])-SEARCH("(",Page012[[#This Row],[Column4]])-1)</f>
        <v>1422</v>
      </c>
      <c r="I686" s="68">
        <v>1422</v>
      </c>
      <c r="J686" s="68">
        <f t="shared" si="41"/>
        <v>0</v>
      </c>
      <c r="K686" s="68">
        <f t="shared" si="40"/>
        <v>0</v>
      </c>
      <c r="L686" s="100">
        <f t="shared" si="42"/>
        <v>-0.42486133646629831</v>
      </c>
      <c r="M686" s="68">
        <f t="shared" si="43"/>
        <v>10</v>
      </c>
    </row>
    <row r="687" spans="1:13">
      <c r="A687" s="100" t="str">
        <f>MID(Page012[[#This Row],[Column5]],SEARCH("(",Page012[[#This Row],[Column5]])+1,SEARCH(")",Page012[[#This Row],[Column5]])-SEARCH("(",Page012[[#This Row],[Column5]])-1)</f>
        <v>30.18</v>
      </c>
      <c r="B687" s="68" t="s">
        <v>508</v>
      </c>
      <c r="C687" s="68" t="s">
        <v>292</v>
      </c>
      <c r="D687" s="68" t="s">
        <v>292</v>
      </c>
      <c r="E687" s="68" t="s">
        <v>509</v>
      </c>
      <c r="F687" s="68" t="s">
        <v>455</v>
      </c>
      <c r="G687" s="68">
        <v>1035.9000000000001</v>
      </c>
      <c r="H687" s="100" t="str">
        <f>MID(Page012[[#This Row],[Column4]],SEARCH("(",Page012[[#This Row],[Column4]])+1,SEARCH(")",Page012[[#This Row],[Column4]])-SEARCH("(",Page012[[#This Row],[Column4]])-1)</f>
        <v>1422</v>
      </c>
      <c r="I687" s="68">
        <v>1422</v>
      </c>
      <c r="J687" s="68">
        <f t="shared" si="41"/>
        <v>0</v>
      </c>
      <c r="K687" s="68">
        <f t="shared" si="40"/>
        <v>0</v>
      </c>
      <c r="L687" s="100">
        <f t="shared" si="42"/>
        <v>-0.42486133646629831</v>
      </c>
      <c r="M687" s="68">
        <f t="shared" si="43"/>
        <v>10</v>
      </c>
    </row>
    <row r="688" spans="1:13">
      <c r="A688" s="100" t="str">
        <f>MID(Page012[[#This Row],[Column5]],SEARCH("(",Page012[[#This Row],[Column5]])+1,SEARCH(")",Page012[[#This Row],[Column5]])-SEARCH("(",Page012[[#This Row],[Column5]])-1)</f>
        <v>31.75</v>
      </c>
      <c r="B688" s="68" t="s">
        <v>508</v>
      </c>
      <c r="C688" s="68" t="s">
        <v>292</v>
      </c>
      <c r="D688" s="68" t="s">
        <v>292</v>
      </c>
      <c r="E688" s="68" t="s">
        <v>509</v>
      </c>
      <c r="F688" s="68" t="s">
        <v>433</v>
      </c>
      <c r="G688" s="68">
        <v>1088</v>
      </c>
      <c r="H688" s="100" t="str">
        <f>MID(Page012[[#This Row],[Column4]],SEARCH("(",Page012[[#This Row],[Column4]])+1,SEARCH(")",Page012[[#This Row],[Column4]])-SEARCH("(",Page012[[#This Row],[Column4]])-1)</f>
        <v>1422</v>
      </c>
      <c r="I688" s="68">
        <v>1422</v>
      </c>
      <c r="J688" s="68">
        <f t="shared" si="41"/>
        <v>0</v>
      </c>
      <c r="K688" s="68">
        <f t="shared" si="40"/>
        <v>0</v>
      </c>
      <c r="L688" s="100">
        <f t="shared" si="42"/>
        <v>-0.42486133646629831</v>
      </c>
      <c r="M688" s="68">
        <f t="shared" si="43"/>
        <v>10</v>
      </c>
    </row>
    <row r="689" spans="1:13">
      <c r="A689" s="100" t="str">
        <f>MID(Page012[[#This Row],[Column5]],SEARCH("(",Page012[[#This Row],[Column5]])+1,SEARCH(")",Page012[[#This Row],[Column5]])-SEARCH("(",Page012[[#This Row],[Column5]])-1)</f>
        <v>9.53</v>
      </c>
      <c r="B689" s="68" t="s">
        <v>510</v>
      </c>
      <c r="C689" s="68" t="s">
        <v>292</v>
      </c>
      <c r="D689" s="68" t="s">
        <v>292</v>
      </c>
      <c r="E689" s="68" t="s">
        <v>511</v>
      </c>
      <c r="F689" s="68" t="s">
        <v>376</v>
      </c>
      <c r="G689" s="68">
        <v>355.94</v>
      </c>
      <c r="H689" s="100" t="str">
        <f>MID(Page012[[#This Row],[Column4]],SEARCH("(",Page012[[#This Row],[Column4]])+1,SEARCH(")",Page012[[#This Row],[Column4]])-SEARCH("(",Page012[[#This Row],[Column4]])-1)</f>
        <v>1524</v>
      </c>
      <c r="I689" s="68">
        <v>1524</v>
      </c>
      <c r="J689" s="68">
        <f t="shared" si="41"/>
        <v>0</v>
      </c>
      <c r="K689" s="68">
        <f t="shared" si="40"/>
        <v>0</v>
      </c>
      <c r="L689" s="100">
        <f t="shared" si="42"/>
        <v>-0.42486133646629831</v>
      </c>
      <c r="M689" s="68">
        <f t="shared" si="43"/>
        <v>10</v>
      </c>
    </row>
    <row r="690" spans="1:13">
      <c r="A690" s="100" t="str">
        <f>MID(Page012[[#This Row],[Column5]],SEARCH("(",Page012[[#This Row],[Column5]])+1,SEARCH(")",Page012[[#This Row],[Column5]])-SEARCH("(",Page012[[#This Row],[Column5]])-1)</f>
        <v>10.31</v>
      </c>
      <c r="B690" s="68" t="s">
        <v>510</v>
      </c>
      <c r="C690" s="68" t="s">
        <v>292</v>
      </c>
      <c r="D690" s="68" t="s">
        <v>292</v>
      </c>
      <c r="E690" s="68" t="s">
        <v>511</v>
      </c>
      <c r="F690" s="68" t="s">
        <v>417</v>
      </c>
      <c r="G690" s="68">
        <v>384</v>
      </c>
      <c r="H690" s="100" t="str">
        <f>MID(Page012[[#This Row],[Column4]],SEARCH("(",Page012[[#This Row],[Column4]])+1,SEARCH(")",Page012[[#This Row],[Column4]])-SEARCH("(",Page012[[#This Row],[Column4]])-1)</f>
        <v>1524</v>
      </c>
      <c r="I690" s="68">
        <v>1524</v>
      </c>
      <c r="J690" s="68">
        <f t="shared" si="41"/>
        <v>0</v>
      </c>
      <c r="K690" s="68">
        <f t="shared" si="40"/>
        <v>0</v>
      </c>
      <c r="L690" s="100">
        <f t="shared" si="42"/>
        <v>-0.42486133646629831</v>
      </c>
      <c r="M690" s="68">
        <f t="shared" si="43"/>
        <v>10</v>
      </c>
    </row>
    <row r="691" spans="1:13">
      <c r="A691" s="100" t="str">
        <f>MID(Page012[[#This Row],[Column5]],SEARCH("(",Page012[[#This Row],[Column5]])+1,SEARCH(")",Page012[[#This Row],[Column5]])-SEARCH("(",Page012[[#This Row],[Column5]])-1)</f>
        <v>11.13</v>
      </c>
      <c r="B691" s="68" t="s">
        <v>510</v>
      </c>
      <c r="C691" s="68" t="s">
        <v>292</v>
      </c>
      <c r="D691" s="68" t="s">
        <v>292</v>
      </c>
      <c r="E691" s="68" t="s">
        <v>511</v>
      </c>
      <c r="F691" s="68" t="s">
        <v>381</v>
      </c>
      <c r="G691" s="68">
        <v>415</v>
      </c>
      <c r="H691" s="100" t="str">
        <f>MID(Page012[[#This Row],[Column4]],SEARCH("(",Page012[[#This Row],[Column4]])+1,SEARCH(")",Page012[[#This Row],[Column4]])-SEARCH("(",Page012[[#This Row],[Column4]])-1)</f>
        <v>1524</v>
      </c>
      <c r="I691" s="68">
        <v>1524</v>
      </c>
      <c r="J691" s="68">
        <f t="shared" si="41"/>
        <v>0</v>
      </c>
      <c r="K691" s="68">
        <f t="shared" si="40"/>
        <v>0</v>
      </c>
      <c r="L691" s="100">
        <f t="shared" si="42"/>
        <v>-0.42486133646629831</v>
      </c>
      <c r="M691" s="68">
        <f t="shared" si="43"/>
        <v>10</v>
      </c>
    </row>
    <row r="692" spans="1:13">
      <c r="A692" s="100" t="str">
        <f>MID(Page012[[#This Row],[Column5]],SEARCH("(",Page012[[#This Row],[Column5]])+1,SEARCH(")",Page012[[#This Row],[Column5]])-SEARCH("(",Page012[[#This Row],[Column5]])-1)</f>
        <v>11.91</v>
      </c>
      <c r="B692" s="68" t="s">
        <v>510</v>
      </c>
      <c r="C692" s="68" t="s">
        <v>292</v>
      </c>
      <c r="D692" s="68" t="s">
        <v>292</v>
      </c>
      <c r="E692" s="68" t="s">
        <v>511</v>
      </c>
      <c r="F692" s="68" t="s">
        <v>444</v>
      </c>
      <c r="G692" s="68">
        <v>444</v>
      </c>
      <c r="H692" s="100" t="str">
        <f>MID(Page012[[#This Row],[Column4]],SEARCH("(",Page012[[#This Row],[Column4]])+1,SEARCH(")",Page012[[#This Row],[Column4]])-SEARCH("(",Page012[[#This Row],[Column4]])-1)</f>
        <v>1524</v>
      </c>
      <c r="I692" s="68">
        <v>1524</v>
      </c>
      <c r="J692" s="68">
        <f t="shared" si="41"/>
        <v>0</v>
      </c>
      <c r="K692" s="68">
        <f t="shared" si="40"/>
        <v>0</v>
      </c>
      <c r="L692" s="100">
        <f t="shared" si="42"/>
        <v>-0.42486133646629831</v>
      </c>
      <c r="M692" s="68">
        <f t="shared" si="43"/>
        <v>10</v>
      </c>
    </row>
    <row r="693" spans="1:13">
      <c r="A693" s="100" t="str">
        <f>MID(Page012[[#This Row],[Column5]],SEARCH("(",Page012[[#This Row],[Column5]])+1,SEARCH(")",Page012[[#This Row],[Column5]])-SEARCH("(",Page012[[#This Row],[Column5]])-1)</f>
        <v>12.70</v>
      </c>
      <c r="B693" s="68" t="s">
        <v>510</v>
      </c>
      <c r="C693" s="68" t="s">
        <v>292</v>
      </c>
      <c r="D693" s="68" t="s">
        <v>292</v>
      </c>
      <c r="E693" s="68" t="s">
        <v>511</v>
      </c>
      <c r="F693" s="68" t="s">
        <v>399</v>
      </c>
      <c r="G693" s="68">
        <v>473</v>
      </c>
      <c r="H693" s="100" t="str">
        <f>MID(Page012[[#This Row],[Column4]],SEARCH("(",Page012[[#This Row],[Column4]])+1,SEARCH(")",Page012[[#This Row],[Column4]])-SEARCH("(",Page012[[#This Row],[Column4]])-1)</f>
        <v>1524</v>
      </c>
      <c r="I693" s="68">
        <v>1524</v>
      </c>
      <c r="J693" s="68">
        <f t="shared" si="41"/>
        <v>0</v>
      </c>
      <c r="K693" s="68">
        <f t="shared" si="40"/>
        <v>0</v>
      </c>
      <c r="L693" s="100">
        <f t="shared" si="42"/>
        <v>-0.42486133646629831</v>
      </c>
      <c r="M693" s="68">
        <f t="shared" si="43"/>
        <v>10</v>
      </c>
    </row>
    <row r="694" spans="1:13">
      <c r="A694" s="100" t="str">
        <f>MID(Page012[[#This Row],[Column5]],SEARCH("(",Page012[[#This Row],[Column5]])+1,SEARCH(")",Page012[[#This Row],[Column5]])-SEARCH("(",Page012[[#This Row],[Column5]])-1)</f>
        <v>14.27</v>
      </c>
      <c r="B694" s="68" t="s">
        <v>510</v>
      </c>
      <c r="C694" s="68" t="s">
        <v>292</v>
      </c>
      <c r="D694" s="68" t="s">
        <v>292</v>
      </c>
      <c r="E694" s="68" t="s">
        <v>511</v>
      </c>
      <c r="F694" s="68" t="s">
        <v>406</v>
      </c>
      <c r="G694" s="68">
        <v>531.29999999999995</v>
      </c>
      <c r="H694" s="100" t="str">
        <f>MID(Page012[[#This Row],[Column4]],SEARCH("(",Page012[[#This Row],[Column4]])+1,SEARCH(")",Page012[[#This Row],[Column4]])-SEARCH("(",Page012[[#This Row],[Column4]])-1)</f>
        <v>1524</v>
      </c>
      <c r="I694" s="68">
        <v>1524</v>
      </c>
      <c r="J694" s="68">
        <f t="shared" si="41"/>
        <v>0</v>
      </c>
      <c r="K694" s="68">
        <f t="shared" si="40"/>
        <v>0</v>
      </c>
      <c r="L694" s="100">
        <f t="shared" si="42"/>
        <v>-0.42486133646629831</v>
      </c>
      <c r="M694" s="68">
        <f t="shared" si="43"/>
        <v>10</v>
      </c>
    </row>
    <row r="695" spans="1:13">
      <c r="A695" s="100" t="str">
        <f>MID(Page012[[#This Row],[Column5]],SEARCH("(",Page012[[#This Row],[Column5]])+1,SEARCH(")",Page012[[#This Row],[Column5]])-SEARCH("(",Page012[[#This Row],[Column5]])-1)</f>
        <v>15.88</v>
      </c>
      <c r="B695" s="68" t="s">
        <v>510</v>
      </c>
      <c r="C695" s="68" t="s">
        <v>292</v>
      </c>
      <c r="D695" s="68" t="s">
        <v>292</v>
      </c>
      <c r="E695" s="68" t="s">
        <v>511</v>
      </c>
      <c r="F695" s="68" t="s">
        <v>400</v>
      </c>
      <c r="G695" s="68">
        <v>590.30999999999995</v>
      </c>
      <c r="H695" s="100" t="str">
        <f>MID(Page012[[#This Row],[Column4]],SEARCH("(",Page012[[#This Row],[Column4]])+1,SEARCH(")",Page012[[#This Row],[Column4]])-SEARCH("(",Page012[[#This Row],[Column4]])-1)</f>
        <v>1524</v>
      </c>
      <c r="I695" s="68">
        <v>1524</v>
      </c>
      <c r="J695" s="68">
        <f t="shared" si="41"/>
        <v>0</v>
      </c>
      <c r="K695" s="68">
        <f t="shared" si="40"/>
        <v>0</v>
      </c>
      <c r="L695" s="100">
        <f t="shared" si="42"/>
        <v>-0.42486133646629831</v>
      </c>
      <c r="M695" s="68">
        <f t="shared" si="43"/>
        <v>10</v>
      </c>
    </row>
    <row r="696" spans="1:13">
      <c r="A696" s="100" t="str">
        <f>MID(Page012[[#This Row],[Column5]],SEARCH("(",Page012[[#This Row],[Column5]])+1,SEARCH(")",Page012[[#This Row],[Column5]])-SEARCH("(",Page012[[#This Row],[Column5]])-1)</f>
        <v>17.48</v>
      </c>
      <c r="B696" s="68" t="s">
        <v>510</v>
      </c>
      <c r="C696" s="68" t="s">
        <v>292</v>
      </c>
      <c r="D696" s="68" t="s">
        <v>292</v>
      </c>
      <c r="E696" s="68" t="s">
        <v>511</v>
      </c>
      <c r="F696" s="68" t="s">
        <v>438</v>
      </c>
      <c r="G696" s="68">
        <v>649</v>
      </c>
      <c r="H696" s="100" t="str">
        <f>MID(Page012[[#This Row],[Column4]],SEARCH("(",Page012[[#This Row],[Column4]])+1,SEARCH(")",Page012[[#This Row],[Column4]])-SEARCH("(",Page012[[#This Row],[Column4]])-1)</f>
        <v>1524</v>
      </c>
      <c r="I696" s="68">
        <v>1524</v>
      </c>
      <c r="J696" s="68">
        <f t="shared" si="41"/>
        <v>0</v>
      </c>
      <c r="K696" s="68">
        <f t="shared" si="40"/>
        <v>0</v>
      </c>
      <c r="L696" s="100">
        <f t="shared" si="42"/>
        <v>-0.42486133646629831</v>
      </c>
      <c r="M696" s="68">
        <f t="shared" si="43"/>
        <v>10</v>
      </c>
    </row>
    <row r="697" spans="1:13">
      <c r="A697" s="100" t="str">
        <f>MID(Page012[[#This Row],[Column5]],SEARCH("(",Page012[[#This Row],[Column5]])+1,SEARCH(")",Page012[[#This Row],[Column5]])-SEARCH("(",Page012[[#This Row],[Column5]])-1)</f>
        <v>19.05</v>
      </c>
      <c r="B697" s="68" t="s">
        <v>510</v>
      </c>
      <c r="C697" s="68" t="s">
        <v>292</v>
      </c>
      <c r="D697" s="68" t="s">
        <v>292</v>
      </c>
      <c r="E697" s="68" t="s">
        <v>511</v>
      </c>
      <c r="F697" s="68" t="s">
        <v>401</v>
      </c>
      <c r="G697" s="68">
        <v>707</v>
      </c>
      <c r="H697" s="100" t="str">
        <f>MID(Page012[[#This Row],[Column4]],SEARCH("(",Page012[[#This Row],[Column4]])+1,SEARCH(")",Page012[[#This Row],[Column4]])-SEARCH("(",Page012[[#This Row],[Column4]])-1)</f>
        <v>1524</v>
      </c>
      <c r="I697" s="68">
        <v>1524</v>
      </c>
      <c r="J697" s="68">
        <f t="shared" si="41"/>
        <v>0</v>
      </c>
      <c r="K697" s="68">
        <f t="shared" si="40"/>
        <v>0</v>
      </c>
      <c r="L697" s="100">
        <f t="shared" si="42"/>
        <v>-0.42486133646629831</v>
      </c>
      <c r="M697" s="68">
        <f t="shared" si="43"/>
        <v>10</v>
      </c>
    </row>
    <row r="698" spans="1:13">
      <c r="A698" s="100" t="str">
        <f>MID(Page012[[#This Row],[Column5]],SEARCH("(",Page012[[#This Row],[Column5]])+1,SEARCH(")",Page012[[#This Row],[Column5]])-SEARCH("(",Page012[[#This Row],[Column5]])-1)</f>
        <v>20.62</v>
      </c>
      <c r="B698" s="68" t="s">
        <v>510</v>
      </c>
      <c r="C698" s="68" t="s">
        <v>292</v>
      </c>
      <c r="D698" s="68" t="s">
        <v>292</v>
      </c>
      <c r="E698" s="68" t="s">
        <v>511</v>
      </c>
      <c r="F698" s="68" t="s">
        <v>421</v>
      </c>
      <c r="G698" s="68">
        <v>764</v>
      </c>
      <c r="H698" s="100" t="str">
        <f>MID(Page012[[#This Row],[Column4]],SEARCH("(",Page012[[#This Row],[Column4]])+1,SEARCH(")",Page012[[#This Row],[Column4]])-SEARCH("(",Page012[[#This Row],[Column4]])-1)</f>
        <v>1524</v>
      </c>
      <c r="I698" s="68">
        <v>1524</v>
      </c>
      <c r="J698" s="68">
        <f t="shared" si="41"/>
        <v>0</v>
      </c>
      <c r="K698" s="68">
        <f t="shared" si="40"/>
        <v>0</v>
      </c>
      <c r="L698" s="100">
        <f t="shared" si="42"/>
        <v>-0.42486133646629831</v>
      </c>
      <c r="M698" s="68">
        <f t="shared" si="43"/>
        <v>10</v>
      </c>
    </row>
    <row r="699" spans="1:13">
      <c r="A699" s="100" t="str">
        <f>MID(Page012[[#This Row],[Column5]],SEARCH("(",Page012[[#This Row],[Column5]])+1,SEARCH(")",Page012[[#This Row],[Column5]])-SEARCH("(",Page012[[#This Row],[Column5]])-1)</f>
        <v>22.23</v>
      </c>
      <c r="B699" s="68" t="s">
        <v>510</v>
      </c>
      <c r="C699" s="68" t="s">
        <v>292</v>
      </c>
      <c r="D699" s="68" t="s">
        <v>292</v>
      </c>
      <c r="E699" s="68" t="s">
        <v>511</v>
      </c>
      <c r="F699" s="68" t="s">
        <v>409</v>
      </c>
      <c r="G699" s="68">
        <v>823</v>
      </c>
      <c r="H699" s="100" t="str">
        <f>MID(Page012[[#This Row],[Column4]],SEARCH("(",Page012[[#This Row],[Column4]])+1,SEARCH(")",Page012[[#This Row],[Column4]])-SEARCH("(",Page012[[#This Row],[Column4]])-1)</f>
        <v>1524</v>
      </c>
      <c r="I699" s="68">
        <v>1524</v>
      </c>
      <c r="J699" s="68">
        <f t="shared" si="41"/>
        <v>0</v>
      </c>
      <c r="K699" s="68">
        <f t="shared" si="40"/>
        <v>0</v>
      </c>
      <c r="L699" s="100">
        <f t="shared" si="42"/>
        <v>-0.42486133646629831</v>
      </c>
      <c r="M699" s="68">
        <f t="shared" si="43"/>
        <v>10</v>
      </c>
    </row>
    <row r="700" spans="1:13">
      <c r="A700" s="100" t="str">
        <f>MID(Page012[[#This Row],[Column5]],SEARCH("(",Page012[[#This Row],[Column5]])+1,SEARCH(")",Page012[[#This Row],[Column5]])-SEARCH("(",Page012[[#This Row],[Column5]])-1)</f>
        <v>23.83</v>
      </c>
      <c r="B700" s="68" t="s">
        <v>510</v>
      </c>
      <c r="C700" s="68" t="s">
        <v>292</v>
      </c>
      <c r="D700" s="68" t="s">
        <v>292</v>
      </c>
      <c r="E700" s="68" t="s">
        <v>511</v>
      </c>
      <c r="F700" s="68" t="s">
        <v>431</v>
      </c>
      <c r="G700" s="68">
        <v>881</v>
      </c>
      <c r="H700" s="100" t="str">
        <f>MID(Page012[[#This Row],[Column4]],SEARCH("(",Page012[[#This Row],[Column4]])+1,SEARCH(")",Page012[[#This Row],[Column4]])-SEARCH("(",Page012[[#This Row],[Column4]])-1)</f>
        <v>1524</v>
      </c>
      <c r="I700" s="68">
        <v>1524</v>
      </c>
      <c r="J700" s="68">
        <f t="shared" si="41"/>
        <v>0</v>
      </c>
      <c r="K700" s="68">
        <f t="shared" si="40"/>
        <v>0</v>
      </c>
      <c r="L700" s="100">
        <f t="shared" si="42"/>
        <v>-0.42486133646629831</v>
      </c>
      <c r="M700" s="68">
        <f t="shared" si="43"/>
        <v>10</v>
      </c>
    </row>
    <row r="701" spans="1:13">
      <c r="A701" s="100" t="str">
        <f>MID(Page012[[#This Row],[Column5]],SEARCH("(",Page012[[#This Row],[Column5]])+1,SEARCH(")",Page012[[#This Row],[Column5]])-SEARCH("(",Page012[[#This Row],[Column5]])-1)</f>
        <v>25.40</v>
      </c>
      <c r="B701" s="68" t="s">
        <v>510</v>
      </c>
      <c r="C701" s="68" t="s">
        <v>292</v>
      </c>
      <c r="D701" s="68" t="s">
        <v>292</v>
      </c>
      <c r="E701" s="68" t="s">
        <v>511</v>
      </c>
      <c r="F701" s="68" t="s">
        <v>423</v>
      </c>
      <c r="G701" s="68">
        <v>938</v>
      </c>
      <c r="H701" s="100" t="str">
        <f>MID(Page012[[#This Row],[Column4]],SEARCH("(",Page012[[#This Row],[Column4]])+1,SEARCH(")",Page012[[#This Row],[Column4]])-SEARCH("(",Page012[[#This Row],[Column4]])-1)</f>
        <v>1524</v>
      </c>
      <c r="I701" s="68">
        <v>1524</v>
      </c>
      <c r="J701" s="68">
        <f t="shared" si="41"/>
        <v>0</v>
      </c>
      <c r="K701" s="68">
        <f t="shared" si="40"/>
        <v>0</v>
      </c>
      <c r="L701" s="100">
        <f t="shared" si="42"/>
        <v>-0.42486133646629831</v>
      </c>
      <c r="M701" s="68">
        <f t="shared" si="43"/>
        <v>10</v>
      </c>
    </row>
    <row r="702" spans="1:13">
      <c r="A702" s="100" t="str">
        <f>MID(Page012[[#This Row],[Column5]],SEARCH("(",Page012[[#This Row],[Column5]])+1,SEARCH(")",Page012[[#This Row],[Column5]])-SEARCH("(",Page012[[#This Row],[Column5]])-1)</f>
        <v>26.97</v>
      </c>
      <c r="B702" s="68" t="s">
        <v>510</v>
      </c>
      <c r="C702" s="68" t="s">
        <v>292</v>
      </c>
      <c r="D702" s="68" t="s">
        <v>292</v>
      </c>
      <c r="E702" s="68" t="s">
        <v>511</v>
      </c>
      <c r="F702" s="68" t="s">
        <v>439</v>
      </c>
      <c r="G702" s="68">
        <v>995</v>
      </c>
      <c r="H702" s="100" t="str">
        <f>MID(Page012[[#This Row],[Column4]],SEARCH("(",Page012[[#This Row],[Column4]])+1,SEARCH(")",Page012[[#This Row],[Column4]])-SEARCH("(",Page012[[#This Row],[Column4]])-1)</f>
        <v>1524</v>
      </c>
      <c r="I702" s="68">
        <v>1524</v>
      </c>
      <c r="J702" s="68">
        <f t="shared" si="41"/>
        <v>0</v>
      </c>
      <c r="K702" s="68">
        <f t="shared" si="40"/>
        <v>0</v>
      </c>
      <c r="L702" s="100">
        <f t="shared" si="42"/>
        <v>-0.42486133646629831</v>
      </c>
      <c r="M702" s="68">
        <f t="shared" si="43"/>
        <v>10</v>
      </c>
    </row>
    <row r="703" spans="1:13">
      <c r="A703" s="100" t="str">
        <f>MID(Page012[[#This Row],[Column5]],SEARCH("(",Page012[[#This Row],[Column5]])+1,SEARCH(")",Page012[[#This Row],[Column5]])-SEARCH("(",Page012[[#This Row],[Column5]])-1)</f>
        <v>28.58</v>
      </c>
      <c r="B703" s="68" t="s">
        <v>510</v>
      </c>
      <c r="C703" s="68" t="s">
        <v>292</v>
      </c>
      <c r="D703" s="68" t="s">
        <v>292</v>
      </c>
      <c r="E703" s="68" t="s">
        <v>511</v>
      </c>
      <c r="F703" s="68" t="s">
        <v>432</v>
      </c>
      <c r="G703" s="68">
        <v>1054</v>
      </c>
      <c r="H703" s="100" t="str">
        <f>MID(Page012[[#This Row],[Column4]],SEARCH("(",Page012[[#This Row],[Column4]])+1,SEARCH(")",Page012[[#This Row],[Column4]])-SEARCH("(",Page012[[#This Row],[Column4]])-1)</f>
        <v>1524</v>
      </c>
      <c r="I703" s="68">
        <v>1524</v>
      </c>
      <c r="J703" s="68">
        <f t="shared" si="41"/>
        <v>0</v>
      </c>
      <c r="K703" s="68">
        <f t="shared" si="40"/>
        <v>0</v>
      </c>
      <c r="L703" s="100">
        <f t="shared" si="42"/>
        <v>-0.42486133646629831</v>
      </c>
      <c r="M703" s="68">
        <f t="shared" si="43"/>
        <v>10</v>
      </c>
    </row>
    <row r="704" spans="1:13">
      <c r="A704" s="100" t="str">
        <f>MID(Page012[[#This Row],[Column5]],SEARCH("(",Page012[[#This Row],[Column5]])+1,SEARCH(")",Page012[[#This Row],[Column5]])-SEARCH("(",Page012[[#This Row],[Column5]])-1)</f>
        <v>30.18</v>
      </c>
      <c r="B704" s="68" t="s">
        <v>510</v>
      </c>
      <c r="C704" s="68" t="s">
        <v>292</v>
      </c>
      <c r="D704" s="68" t="s">
        <v>292</v>
      </c>
      <c r="E704" s="68" t="s">
        <v>511</v>
      </c>
      <c r="F704" s="68" t="s">
        <v>455</v>
      </c>
      <c r="G704" s="68">
        <v>1111</v>
      </c>
      <c r="H704" s="100" t="str">
        <f>MID(Page012[[#This Row],[Column4]],SEARCH("(",Page012[[#This Row],[Column4]])+1,SEARCH(")",Page012[[#This Row],[Column4]])-SEARCH("(",Page012[[#This Row],[Column4]])-1)</f>
        <v>1524</v>
      </c>
      <c r="I704" s="68">
        <v>1524</v>
      </c>
      <c r="J704" s="68">
        <f t="shared" si="41"/>
        <v>0</v>
      </c>
      <c r="K704" s="68">
        <f t="shared" si="40"/>
        <v>0</v>
      </c>
      <c r="L704" s="100">
        <f t="shared" si="42"/>
        <v>-0.42486133646629831</v>
      </c>
      <c r="M704" s="68">
        <f t="shared" si="43"/>
        <v>10</v>
      </c>
    </row>
    <row r="705" spans="1:13">
      <c r="A705" s="100" t="str">
        <f>MID(Page012[[#This Row],[Column5]],SEARCH("(",Page012[[#This Row],[Column5]])+1,SEARCH(")",Page012[[#This Row],[Column5]])-SEARCH("(",Page012[[#This Row],[Column5]])-1)</f>
        <v>31.75</v>
      </c>
      <c r="B705" s="68" t="s">
        <v>510</v>
      </c>
      <c r="C705" s="68" t="s">
        <v>292</v>
      </c>
      <c r="D705" s="68" t="s">
        <v>292</v>
      </c>
      <c r="E705" s="68" t="s">
        <v>511</v>
      </c>
      <c r="F705" s="68" t="s">
        <v>433</v>
      </c>
      <c r="G705" s="68">
        <v>1168</v>
      </c>
      <c r="H705" s="100" t="str">
        <f>MID(Page012[[#This Row],[Column4]],SEARCH("(",Page012[[#This Row],[Column4]])+1,SEARCH(")",Page012[[#This Row],[Column4]])-SEARCH("(",Page012[[#This Row],[Column4]])-1)</f>
        <v>1524</v>
      </c>
      <c r="I705" s="68">
        <v>1524</v>
      </c>
      <c r="J705" s="68">
        <f t="shared" si="41"/>
        <v>0</v>
      </c>
      <c r="K705" s="68">
        <f t="shared" si="40"/>
        <v>0</v>
      </c>
      <c r="L705" s="100">
        <f t="shared" si="42"/>
        <v>-0.42486133646629831</v>
      </c>
      <c r="M705" s="68">
        <f t="shared" si="43"/>
        <v>10</v>
      </c>
    </row>
    <row r="706" spans="1:13">
      <c r="A706" s="100" t="str">
        <f>MID(Page012[[#This Row],[Column5]],SEARCH("(",Page012[[#This Row],[Column5]])+1,SEARCH(")",Page012[[#This Row],[Column5]])-SEARCH("(",Page012[[#This Row],[Column5]])-1)</f>
        <v>9.53</v>
      </c>
      <c r="B706" s="68" t="s">
        <v>512</v>
      </c>
      <c r="C706" s="68" t="s">
        <v>292</v>
      </c>
      <c r="D706" s="68" t="s">
        <v>292</v>
      </c>
      <c r="E706" s="68" t="s">
        <v>513</v>
      </c>
      <c r="F706" s="68" t="s">
        <v>376</v>
      </c>
      <c r="G706" s="68">
        <v>379.9</v>
      </c>
      <c r="H706" s="100" t="str">
        <f>MID(Page012[[#This Row],[Column4]],SEARCH("(",Page012[[#This Row],[Column4]])+1,SEARCH(")",Page012[[#This Row],[Column4]])-SEARCH("(",Page012[[#This Row],[Column4]])-1)</f>
        <v>1626</v>
      </c>
      <c r="I706" s="68">
        <v>1626</v>
      </c>
      <c r="J706" s="68">
        <f t="shared" si="41"/>
        <v>0</v>
      </c>
      <c r="K706" s="68">
        <f t="shared" ref="K706:K769" si="44">IF(IF(I706&gt;=$Q$3,I706,$Q$2+10)&lt;=$Q$2,A706,0)</f>
        <v>0</v>
      </c>
      <c r="L706" s="100">
        <f t="shared" si="42"/>
        <v>-0.42486133646629831</v>
      </c>
      <c r="M706" s="68">
        <f t="shared" si="43"/>
        <v>10</v>
      </c>
    </row>
    <row r="707" spans="1:13">
      <c r="A707" s="100" t="str">
        <f>MID(Page012[[#This Row],[Column5]],SEARCH("(",Page012[[#This Row],[Column5]])+1,SEARCH(")",Page012[[#This Row],[Column5]])-SEARCH("(",Page012[[#This Row],[Column5]])-1)</f>
        <v>10.31</v>
      </c>
      <c r="B707" s="68" t="s">
        <v>512</v>
      </c>
      <c r="C707" s="68" t="s">
        <v>292</v>
      </c>
      <c r="D707" s="68" t="s">
        <v>292</v>
      </c>
      <c r="E707" s="68" t="s">
        <v>513</v>
      </c>
      <c r="F707" s="68" t="s">
        <v>417</v>
      </c>
      <c r="G707" s="68">
        <v>410.8</v>
      </c>
      <c r="H707" s="100" t="str">
        <f>MID(Page012[[#This Row],[Column4]],SEARCH("(",Page012[[#This Row],[Column4]])+1,SEARCH(")",Page012[[#This Row],[Column4]])-SEARCH("(",Page012[[#This Row],[Column4]])-1)</f>
        <v>1626</v>
      </c>
      <c r="I707" s="68">
        <v>1626</v>
      </c>
      <c r="J707" s="68">
        <f t="shared" ref="J707:J770" si="45">IF(IF(I707&gt;=$Q$3,I707,$Q$2+10)&lt;=$Q$2,I707,0)</f>
        <v>0</v>
      </c>
      <c r="K707" s="68">
        <f t="shared" si="44"/>
        <v>0</v>
      </c>
      <c r="L707" s="100">
        <f t="shared" ref="L707:L770" si="46">K707-$Q$1</f>
        <v>-0.42486133646629831</v>
      </c>
      <c r="M707" s="68">
        <f t="shared" si="43"/>
        <v>10</v>
      </c>
    </row>
    <row r="708" spans="1:13">
      <c r="A708" s="100" t="str">
        <f>MID(Page012[[#This Row],[Column5]],SEARCH("(",Page012[[#This Row],[Column5]])+1,SEARCH(")",Page012[[#This Row],[Column5]])-SEARCH("(",Page012[[#This Row],[Column5]])-1)</f>
        <v>11.13</v>
      </c>
      <c r="B708" s="68" t="s">
        <v>512</v>
      </c>
      <c r="C708" s="68" t="s">
        <v>292</v>
      </c>
      <c r="D708" s="68" t="s">
        <v>292</v>
      </c>
      <c r="E708" s="68" t="s">
        <v>513</v>
      </c>
      <c r="F708" s="68" t="s">
        <v>381</v>
      </c>
      <c r="G708" s="68">
        <v>443.25</v>
      </c>
      <c r="H708" s="100" t="str">
        <f>MID(Page012[[#This Row],[Column4]],SEARCH("(",Page012[[#This Row],[Column4]])+1,SEARCH(")",Page012[[#This Row],[Column4]])-SEARCH("(",Page012[[#This Row],[Column4]])-1)</f>
        <v>1626</v>
      </c>
      <c r="I708" s="68">
        <v>1626</v>
      </c>
      <c r="J708" s="68">
        <f t="shared" si="45"/>
        <v>0</v>
      </c>
      <c r="K708" s="68">
        <f t="shared" si="44"/>
        <v>0</v>
      </c>
      <c r="L708" s="100">
        <f t="shared" si="46"/>
        <v>-0.42486133646629831</v>
      </c>
      <c r="M708" s="68">
        <f t="shared" ref="M708:M771" si="47">IF(L708&lt;0,10,L708)</f>
        <v>10</v>
      </c>
    </row>
    <row r="709" spans="1:13">
      <c r="A709" s="100" t="str">
        <f>MID(Page012[[#This Row],[Column5]],SEARCH("(",Page012[[#This Row],[Column5]])+1,SEARCH(")",Page012[[#This Row],[Column5]])-SEARCH("(",Page012[[#This Row],[Column5]])-1)</f>
        <v>11.91</v>
      </c>
      <c r="B709" s="68" t="s">
        <v>512</v>
      </c>
      <c r="C709" s="68" t="s">
        <v>292</v>
      </c>
      <c r="D709" s="68" t="s">
        <v>292</v>
      </c>
      <c r="E709" s="68" t="s">
        <v>513</v>
      </c>
      <c r="F709" s="68" t="s">
        <v>444</v>
      </c>
      <c r="G709" s="68">
        <v>474.09</v>
      </c>
      <c r="H709" s="100" t="str">
        <f>MID(Page012[[#This Row],[Column4]],SEARCH("(",Page012[[#This Row],[Column4]])+1,SEARCH(")",Page012[[#This Row],[Column4]])-SEARCH("(",Page012[[#This Row],[Column4]])-1)</f>
        <v>1626</v>
      </c>
      <c r="I709" s="68">
        <v>1626</v>
      </c>
      <c r="J709" s="68">
        <f t="shared" si="45"/>
        <v>0</v>
      </c>
      <c r="K709" s="68">
        <f t="shared" si="44"/>
        <v>0</v>
      </c>
      <c r="L709" s="100">
        <f t="shared" si="46"/>
        <v>-0.42486133646629831</v>
      </c>
      <c r="M709" s="68">
        <f t="shared" si="47"/>
        <v>10</v>
      </c>
    </row>
    <row r="710" spans="1:13">
      <c r="A710" s="100" t="str">
        <f>MID(Page012[[#This Row],[Column5]],SEARCH("(",Page012[[#This Row],[Column5]])+1,SEARCH(")",Page012[[#This Row],[Column5]])-SEARCH("(",Page012[[#This Row],[Column5]])-1)</f>
        <v>12.70</v>
      </c>
      <c r="B710" s="68" t="s">
        <v>512</v>
      </c>
      <c r="C710" s="68" t="s">
        <v>292</v>
      </c>
      <c r="D710" s="68" t="s">
        <v>292</v>
      </c>
      <c r="E710" s="68" t="s">
        <v>513</v>
      </c>
      <c r="F710" s="68" t="s">
        <v>399</v>
      </c>
      <c r="G710" s="68">
        <v>505</v>
      </c>
      <c r="H710" s="100" t="str">
        <f>MID(Page012[[#This Row],[Column4]],SEARCH("(",Page012[[#This Row],[Column4]])+1,SEARCH(")",Page012[[#This Row],[Column4]])-SEARCH("(",Page012[[#This Row],[Column4]])-1)</f>
        <v>1626</v>
      </c>
      <c r="I710" s="68">
        <v>1626</v>
      </c>
      <c r="J710" s="68">
        <f t="shared" si="45"/>
        <v>0</v>
      </c>
      <c r="K710" s="68">
        <f t="shared" si="44"/>
        <v>0</v>
      </c>
      <c r="L710" s="100">
        <f t="shared" si="46"/>
        <v>-0.42486133646629831</v>
      </c>
      <c r="M710" s="68">
        <f t="shared" si="47"/>
        <v>10</v>
      </c>
    </row>
    <row r="711" spans="1:13">
      <c r="A711" s="100" t="str">
        <f>MID(Page012[[#This Row],[Column5]],SEARCH("(",Page012[[#This Row],[Column5]])+1,SEARCH(")",Page012[[#This Row],[Column5]])-SEARCH("(",Page012[[#This Row],[Column5]])-1)</f>
        <v>14.27</v>
      </c>
      <c r="B711" s="68" t="s">
        <v>512</v>
      </c>
      <c r="C711" s="68" t="s">
        <v>292</v>
      </c>
      <c r="D711" s="68" t="s">
        <v>292</v>
      </c>
      <c r="E711" s="68" t="s">
        <v>513</v>
      </c>
      <c r="F711" s="68" t="s">
        <v>406</v>
      </c>
      <c r="G711" s="68">
        <v>567</v>
      </c>
      <c r="H711" s="100" t="str">
        <f>MID(Page012[[#This Row],[Column4]],SEARCH("(",Page012[[#This Row],[Column4]])+1,SEARCH(")",Page012[[#This Row],[Column4]])-SEARCH("(",Page012[[#This Row],[Column4]])-1)</f>
        <v>1626</v>
      </c>
      <c r="I711" s="68">
        <v>1626</v>
      </c>
      <c r="J711" s="68">
        <f t="shared" si="45"/>
        <v>0</v>
      </c>
      <c r="K711" s="68">
        <f t="shared" si="44"/>
        <v>0</v>
      </c>
      <c r="L711" s="100">
        <f t="shared" si="46"/>
        <v>-0.42486133646629831</v>
      </c>
      <c r="M711" s="68">
        <f t="shared" si="47"/>
        <v>10</v>
      </c>
    </row>
    <row r="712" spans="1:13">
      <c r="A712" s="100" t="str">
        <f>MID(Page012[[#This Row],[Column5]],SEARCH("(",Page012[[#This Row],[Column5]])+1,SEARCH(")",Page012[[#This Row],[Column5]])-SEARCH("(",Page012[[#This Row],[Column5]])-1)</f>
        <v>15.88</v>
      </c>
      <c r="B712" s="68" t="s">
        <v>512</v>
      </c>
      <c r="C712" s="68" t="s">
        <v>292</v>
      </c>
      <c r="D712" s="68" t="s">
        <v>292</v>
      </c>
      <c r="E712" s="68" t="s">
        <v>513</v>
      </c>
      <c r="F712" s="68" t="s">
        <v>400</v>
      </c>
      <c r="G712" s="68">
        <v>630.57000000000005</v>
      </c>
      <c r="H712" s="100" t="str">
        <f>MID(Page012[[#This Row],[Column4]],SEARCH("(",Page012[[#This Row],[Column4]])+1,SEARCH(")",Page012[[#This Row],[Column4]])-SEARCH("(",Page012[[#This Row],[Column4]])-1)</f>
        <v>1626</v>
      </c>
      <c r="I712" s="68">
        <v>1626</v>
      </c>
      <c r="J712" s="68">
        <f t="shared" si="45"/>
        <v>0</v>
      </c>
      <c r="K712" s="68">
        <f t="shared" si="44"/>
        <v>0</v>
      </c>
      <c r="L712" s="100">
        <f t="shared" si="46"/>
        <v>-0.42486133646629831</v>
      </c>
      <c r="M712" s="68">
        <f t="shared" si="47"/>
        <v>10</v>
      </c>
    </row>
    <row r="713" spans="1:13">
      <c r="A713" s="100" t="str">
        <f>MID(Page012[[#This Row],[Column5]],SEARCH("(",Page012[[#This Row],[Column5]])+1,SEARCH(")",Page012[[#This Row],[Column5]])-SEARCH("(",Page012[[#This Row],[Column5]])-1)</f>
        <v>17.48</v>
      </c>
      <c r="B713" s="68" t="s">
        <v>512</v>
      </c>
      <c r="C713" s="68" t="s">
        <v>292</v>
      </c>
      <c r="D713" s="68" t="s">
        <v>292</v>
      </c>
      <c r="E713" s="68" t="s">
        <v>513</v>
      </c>
      <c r="F713" s="68" t="s">
        <v>438</v>
      </c>
      <c r="G713" s="68">
        <v>693</v>
      </c>
      <c r="H713" s="100" t="str">
        <f>MID(Page012[[#This Row],[Column4]],SEARCH("(",Page012[[#This Row],[Column4]])+1,SEARCH(")",Page012[[#This Row],[Column4]])-SEARCH("(",Page012[[#This Row],[Column4]])-1)</f>
        <v>1626</v>
      </c>
      <c r="I713" s="68">
        <v>1626</v>
      </c>
      <c r="J713" s="68">
        <f t="shared" si="45"/>
        <v>0</v>
      </c>
      <c r="K713" s="68">
        <f t="shared" si="44"/>
        <v>0</v>
      </c>
      <c r="L713" s="100">
        <f t="shared" si="46"/>
        <v>-0.42486133646629831</v>
      </c>
      <c r="M713" s="68">
        <f t="shared" si="47"/>
        <v>10</v>
      </c>
    </row>
    <row r="714" spans="1:13">
      <c r="A714" s="100" t="str">
        <f>MID(Page012[[#This Row],[Column5]],SEARCH("(",Page012[[#This Row],[Column5]])+1,SEARCH(")",Page012[[#This Row],[Column5]])-SEARCH("(",Page012[[#This Row],[Column5]])-1)</f>
        <v>19.05</v>
      </c>
      <c r="B714" s="68" t="s">
        <v>512</v>
      </c>
      <c r="C714" s="68" t="s">
        <v>292</v>
      </c>
      <c r="D714" s="68" t="s">
        <v>292</v>
      </c>
      <c r="E714" s="68" t="s">
        <v>513</v>
      </c>
      <c r="F714" s="68" t="s">
        <v>401</v>
      </c>
      <c r="G714" s="68">
        <v>754.95</v>
      </c>
      <c r="H714" s="100" t="str">
        <f>MID(Page012[[#This Row],[Column4]],SEARCH("(",Page012[[#This Row],[Column4]])+1,SEARCH(")",Page012[[#This Row],[Column4]])-SEARCH("(",Page012[[#This Row],[Column4]])-1)</f>
        <v>1626</v>
      </c>
      <c r="I714" s="68">
        <v>1626</v>
      </c>
      <c r="J714" s="68">
        <f t="shared" si="45"/>
        <v>0</v>
      </c>
      <c r="K714" s="68">
        <f t="shared" si="44"/>
        <v>0</v>
      </c>
      <c r="L714" s="100">
        <f t="shared" si="46"/>
        <v>-0.42486133646629831</v>
      </c>
      <c r="M714" s="68">
        <f t="shared" si="47"/>
        <v>10</v>
      </c>
    </row>
    <row r="715" spans="1:13">
      <c r="A715" s="100" t="str">
        <f>MID(Page012[[#This Row],[Column5]],SEARCH("(",Page012[[#This Row],[Column5]])+1,SEARCH(")",Page012[[#This Row],[Column5]])-SEARCH("(",Page012[[#This Row],[Column5]])-1)</f>
        <v>20.62</v>
      </c>
      <c r="B715" s="68" t="s">
        <v>512</v>
      </c>
      <c r="C715" s="68" t="s">
        <v>292</v>
      </c>
      <c r="D715" s="68" t="s">
        <v>292</v>
      </c>
      <c r="E715" s="68" t="s">
        <v>513</v>
      </c>
      <c r="F715" s="68" t="s">
        <v>421</v>
      </c>
      <c r="G715" s="68">
        <v>816</v>
      </c>
      <c r="H715" s="100" t="str">
        <f>MID(Page012[[#This Row],[Column4]],SEARCH("(",Page012[[#This Row],[Column4]])+1,SEARCH(")",Page012[[#This Row],[Column4]])-SEARCH("(",Page012[[#This Row],[Column4]])-1)</f>
        <v>1626</v>
      </c>
      <c r="I715" s="68">
        <v>1626</v>
      </c>
      <c r="J715" s="68">
        <f t="shared" si="45"/>
        <v>0</v>
      </c>
      <c r="K715" s="68">
        <f t="shared" si="44"/>
        <v>0</v>
      </c>
      <c r="L715" s="100">
        <f t="shared" si="46"/>
        <v>-0.42486133646629831</v>
      </c>
      <c r="M715" s="68">
        <f t="shared" si="47"/>
        <v>10</v>
      </c>
    </row>
    <row r="716" spans="1:13">
      <c r="A716" s="100" t="str">
        <f>MID(Page012[[#This Row],[Column5]],SEARCH("(",Page012[[#This Row],[Column5]])+1,SEARCH(")",Page012[[#This Row],[Column5]])-SEARCH("(",Page012[[#This Row],[Column5]])-1)</f>
        <v>22.23</v>
      </c>
      <c r="B716" s="68" t="s">
        <v>512</v>
      </c>
      <c r="C716" s="68" t="s">
        <v>292</v>
      </c>
      <c r="D716" s="68" t="s">
        <v>292</v>
      </c>
      <c r="E716" s="68" t="s">
        <v>513</v>
      </c>
      <c r="F716" s="68" t="s">
        <v>409</v>
      </c>
      <c r="G716" s="68">
        <v>879</v>
      </c>
      <c r="H716" s="100" t="str">
        <f>MID(Page012[[#This Row],[Column4]],SEARCH("(",Page012[[#This Row],[Column4]])+1,SEARCH(")",Page012[[#This Row],[Column4]])-SEARCH("(",Page012[[#This Row],[Column4]])-1)</f>
        <v>1626</v>
      </c>
      <c r="I716" s="68">
        <v>1626</v>
      </c>
      <c r="J716" s="68">
        <f t="shared" si="45"/>
        <v>0</v>
      </c>
      <c r="K716" s="68">
        <f t="shared" si="44"/>
        <v>0</v>
      </c>
      <c r="L716" s="100">
        <f t="shared" si="46"/>
        <v>-0.42486133646629831</v>
      </c>
      <c r="M716" s="68">
        <f t="shared" si="47"/>
        <v>10</v>
      </c>
    </row>
    <row r="717" spans="1:13">
      <c r="A717" s="100" t="str">
        <f>MID(Page012[[#This Row],[Column5]],SEARCH("(",Page012[[#This Row],[Column5]])+1,SEARCH(")",Page012[[#This Row],[Column5]])-SEARCH("(",Page012[[#This Row],[Column5]])-1)</f>
        <v>23.83</v>
      </c>
      <c r="B717" s="68" t="s">
        <v>512</v>
      </c>
      <c r="C717" s="68" t="s">
        <v>292</v>
      </c>
      <c r="D717" s="68" t="s">
        <v>292</v>
      </c>
      <c r="E717" s="68" t="s">
        <v>513</v>
      </c>
      <c r="F717" s="68" t="s">
        <v>431</v>
      </c>
      <c r="G717" s="68">
        <v>941.5</v>
      </c>
      <c r="H717" s="100" t="str">
        <f>MID(Page012[[#This Row],[Column4]],SEARCH("(",Page012[[#This Row],[Column4]])+1,SEARCH(")",Page012[[#This Row],[Column4]])-SEARCH("(",Page012[[#This Row],[Column4]])-1)</f>
        <v>1626</v>
      </c>
      <c r="I717" s="68">
        <v>1626</v>
      </c>
      <c r="J717" s="68">
        <f t="shared" si="45"/>
        <v>0</v>
      </c>
      <c r="K717" s="68">
        <f t="shared" si="44"/>
        <v>0</v>
      </c>
      <c r="L717" s="100">
        <f t="shared" si="46"/>
        <v>-0.42486133646629831</v>
      </c>
      <c r="M717" s="68">
        <f t="shared" si="47"/>
        <v>10</v>
      </c>
    </row>
    <row r="718" spans="1:13">
      <c r="A718" s="100" t="str">
        <f>MID(Page012[[#This Row],[Column5]],SEARCH("(",Page012[[#This Row],[Column5]])+1,SEARCH(")",Page012[[#This Row],[Column5]])-SEARCH("(",Page012[[#This Row],[Column5]])-1)</f>
        <v>25.40</v>
      </c>
      <c r="B718" s="68" t="s">
        <v>512</v>
      </c>
      <c r="C718" s="68" t="s">
        <v>292</v>
      </c>
      <c r="D718" s="68" t="s">
        <v>292</v>
      </c>
      <c r="E718" s="68" t="s">
        <v>513</v>
      </c>
      <c r="F718" s="68" t="s">
        <v>423</v>
      </c>
      <c r="G718" s="68">
        <v>1002.6</v>
      </c>
      <c r="H718" s="100" t="str">
        <f>MID(Page012[[#This Row],[Column4]],SEARCH("(",Page012[[#This Row],[Column4]])+1,SEARCH(")",Page012[[#This Row],[Column4]])-SEARCH("(",Page012[[#This Row],[Column4]])-1)</f>
        <v>1626</v>
      </c>
      <c r="I718" s="68">
        <v>1626</v>
      </c>
      <c r="J718" s="68">
        <f t="shared" si="45"/>
        <v>0</v>
      </c>
      <c r="K718" s="68">
        <f t="shared" si="44"/>
        <v>0</v>
      </c>
      <c r="L718" s="100">
        <f t="shared" si="46"/>
        <v>-0.42486133646629831</v>
      </c>
      <c r="M718" s="68">
        <f t="shared" si="47"/>
        <v>10</v>
      </c>
    </row>
    <row r="719" spans="1:13">
      <c r="A719" s="100" t="str">
        <f>MID(Page012[[#This Row],[Column5]],SEARCH("(",Page012[[#This Row],[Column5]])+1,SEARCH(")",Page012[[#This Row],[Column5]])-SEARCH("(",Page012[[#This Row],[Column5]])-1)</f>
        <v>26.97</v>
      </c>
      <c r="B719" s="68" t="s">
        <v>512</v>
      </c>
      <c r="C719" s="68" t="s">
        <v>292</v>
      </c>
      <c r="D719" s="68" t="s">
        <v>292</v>
      </c>
      <c r="E719" s="68" t="s">
        <v>513</v>
      </c>
      <c r="F719" s="68" t="s">
        <v>439</v>
      </c>
      <c r="G719" s="68">
        <v>1063.5</v>
      </c>
      <c r="H719" s="100" t="str">
        <f>MID(Page012[[#This Row],[Column4]],SEARCH("(",Page012[[#This Row],[Column4]])+1,SEARCH(")",Page012[[#This Row],[Column4]])-SEARCH("(",Page012[[#This Row],[Column4]])-1)</f>
        <v>1626</v>
      </c>
      <c r="I719" s="68">
        <v>1626</v>
      </c>
      <c r="J719" s="68">
        <f t="shared" si="45"/>
        <v>0</v>
      </c>
      <c r="K719" s="68">
        <f t="shared" si="44"/>
        <v>0</v>
      </c>
      <c r="L719" s="100">
        <f t="shared" si="46"/>
        <v>-0.42486133646629831</v>
      </c>
      <c r="M719" s="68">
        <f t="shared" si="47"/>
        <v>10</v>
      </c>
    </row>
    <row r="720" spans="1:13">
      <c r="A720" s="100" t="str">
        <f>MID(Page012[[#This Row],[Column5]],SEARCH("(",Page012[[#This Row],[Column5]])+1,SEARCH(")",Page012[[#This Row],[Column5]])-SEARCH("(",Page012[[#This Row],[Column5]])-1)</f>
        <v>28.58</v>
      </c>
      <c r="B720" s="68" t="s">
        <v>512</v>
      </c>
      <c r="C720" s="68" t="s">
        <v>292</v>
      </c>
      <c r="D720" s="68" t="s">
        <v>292</v>
      </c>
      <c r="E720" s="68" t="s">
        <v>513</v>
      </c>
      <c r="F720" s="68" t="s">
        <v>432</v>
      </c>
      <c r="G720" s="68">
        <v>1125.9000000000001</v>
      </c>
      <c r="H720" s="100" t="str">
        <f>MID(Page012[[#This Row],[Column4]],SEARCH("(",Page012[[#This Row],[Column4]])+1,SEARCH(")",Page012[[#This Row],[Column4]])-SEARCH("(",Page012[[#This Row],[Column4]])-1)</f>
        <v>1626</v>
      </c>
      <c r="I720" s="68">
        <v>1626</v>
      </c>
      <c r="J720" s="68">
        <f t="shared" si="45"/>
        <v>0</v>
      </c>
      <c r="K720" s="68">
        <f t="shared" si="44"/>
        <v>0</v>
      </c>
      <c r="L720" s="100">
        <f t="shared" si="46"/>
        <v>-0.42486133646629831</v>
      </c>
      <c r="M720" s="68">
        <f t="shared" si="47"/>
        <v>10</v>
      </c>
    </row>
    <row r="721" spans="1:13">
      <c r="A721" s="100" t="str">
        <f>MID(Page012[[#This Row],[Column5]],SEARCH("(",Page012[[#This Row],[Column5]])+1,SEARCH(")",Page012[[#This Row],[Column5]])-SEARCH("(",Page012[[#This Row],[Column5]])-1)</f>
        <v>30.18</v>
      </c>
      <c r="B721" s="68" t="s">
        <v>512</v>
      </c>
      <c r="C721" s="68" t="s">
        <v>292</v>
      </c>
      <c r="D721" s="68" t="s">
        <v>292</v>
      </c>
      <c r="E721" s="68" t="s">
        <v>513</v>
      </c>
      <c r="F721" s="68" t="s">
        <v>455</v>
      </c>
      <c r="G721" s="68">
        <v>1187.7</v>
      </c>
      <c r="H721" s="100" t="str">
        <f>MID(Page012[[#This Row],[Column4]],SEARCH("(",Page012[[#This Row],[Column4]])+1,SEARCH(")",Page012[[#This Row],[Column4]])-SEARCH("(",Page012[[#This Row],[Column4]])-1)</f>
        <v>1626</v>
      </c>
      <c r="I721" s="68">
        <v>1626</v>
      </c>
      <c r="J721" s="68">
        <f t="shared" si="45"/>
        <v>0</v>
      </c>
      <c r="K721" s="68">
        <f t="shared" si="44"/>
        <v>0</v>
      </c>
      <c r="L721" s="100">
        <f t="shared" si="46"/>
        <v>-0.42486133646629831</v>
      </c>
      <c r="M721" s="68">
        <f t="shared" si="47"/>
        <v>10</v>
      </c>
    </row>
    <row r="722" spans="1:13">
      <c r="A722" s="100" t="str">
        <f>MID(Page012[[#This Row],[Column5]],SEARCH("(",Page012[[#This Row],[Column5]])+1,SEARCH(")",Page012[[#This Row],[Column5]])-SEARCH("(",Page012[[#This Row],[Column5]])-1)</f>
        <v>31.75</v>
      </c>
      <c r="B722" s="68" t="s">
        <v>512</v>
      </c>
      <c r="C722" s="68" t="s">
        <v>292</v>
      </c>
      <c r="D722" s="68" t="s">
        <v>292</v>
      </c>
      <c r="E722" s="68" t="s">
        <v>513</v>
      </c>
      <c r="F722" s="68" t="s">
        <v>433</v>
      </c>
      <c r="G722" s="68">
        <v>1248</v>
      </c>
      <c r="H722" s="100" t="str">
        <f>MID(Page012[[#This Row],[Column4]],SEARCH("(",Page012[[#This Row],[Column4]])+1,SEARCH(")",Page012[[#This Row],[Column4]])-SEARCH("(",Page012[[#This Row],[Column4]])-1)</f>
        <v>1626</v>
      </c>
      <c r="I722" s="68">
        <v>1626</v>
      </c>
      <c r="J722" s="68">
        <f t="shared" si="45"/>
        <v>0</v>
      </c>
      <c r="K722" s="68">
        <f t="shared" si="44"/>
        <v>0</v>
      </c>
      <c r="L722" s="100">
        <f t="shared" si="46"/>
        <v>-0.42486133646629831</v>
      </c>
      <c r="M722" s="68">
        <f t="shared" si="47"/>
        <v>10</v>
      </c>
    </row>
    <row r="723" spans="1:13">
      <c r="A723" s="100" t="str">
        <f>MID(Page012[[#This Row],[Column5]],SEARCH("(",Page012[[#This Row],[Column5]])+1,SEARCH(")",Page012[[#This Row],[Column5]])-SEARCH("(",Page012[[#This Row],[Column5]])-1)</f>
        <v>11.91</v>
      </c>
      <c r="B723" s="68" t="s">
        <v>514</v>
      </c>
      <c r="C723" s="68" t="s">
        <v>292</v>
      </c>
      <c r="D723" s="68" t="s">
        <v>292</v>
      </c>
      <c r="E723" s="68" t="s">
        <v>515</v>
      </c>
      <c r="F723" s="68" t="s">
        <v>444</v>
      </c>
      <c r="G723" s="68">
        <v>503</v>
      </c>
      <c r="H723" s="100" t="str">
        <f>MID(Page012[[#This Row],[Column4]],SEARCH("(",Page012[[#This Row],[Column4]])+1,SEARCH(")",Page012[[#This Row],[Column4]])-SEARCH("(",Page012[[#This Row],[Column4]])-1)</f>
        <v>1727</v>
      </c>
      <c r="I723" s="68">
        <v>1727</v>
      </c>
      <c r="J723" s="68">
        <f t="shared" si="45"/>
        <v>0</v>
      </c>
      <c r="K723" s="68">
        <f t="shared" si="44"/>
        <v>0</v>
      </c>
      <c r="L723" s="100">
        <f t="shared" si="46"/>
        <v>-0.42486133646629831</v>
      </c>
      <c r="M723" s="68">
        <f t="shared" si="47"/>
        <v>10</v>
      </c>
    </row>
    <row r="724" spans="1:13">
      <c r="A724" s="100" t="str">
        <f>MID(Page012[[#This Row],[Column5]],SEARCH("(",Page012[[#This Row],[Column5]])+1,SEARCH(")",Page012[[#This Row],[Column5]])-SEARCH("(",Page012[[#This Row],[Column5]])-1)</f>
        <v>12.70</v>
      </c>
      <c r="B724" s="68" t="s">
        <v>514</v>
      </c>
      <c r="C724" s="68" t="s">
        <v>292</v>
      </c>
      <c r="D724" s="68" t="s">
        <v>292</v>
      </c>
      <c r="E724" s="68" t="s">
        <v>515</v>
      </c>
      <c r="F724" s="68" t="s">
        <v>399</v>
      </c>
      <c r="G724" s="68">
        <v>536.91999999999996</v>
      </c>
      <c r="H724" s="100" t="str">
        <f>MID(Page012[[#This Row],[Column4]],SEARCH("(",Page012[[#This Row],[Column4]])+1,SEARCH(")",Page012[[#This Row],[Column4]])-SEARCH("(",Page012[[#This Row],[Column4]])-1)</f>
        <v>1727</v>
      </c>
      <c r="I724" s="68">
        <v>1727</v>
      </c>
      <c r="J724" s="68">
        <f t="shared" si="45"/>
        <v>0</v>
      </c>
      <c r="K724" s="68">
        <f t="shared" si="44"/>
        <v>0</v>
      </c>
      <c r="L724" s="100">
        <f t="shared" si="46"/>
        <v>-0.42486133646629831</v>
      </c>
      <c r="M724" s="68">
        <f t="shared" si="47"/>
        <v>10</v>
      </c>
    </row>
    <row r="725" spans="1:13">
      <c r="A725" s="100" t="str">
        <f>MID(Page012[[#This Row],[Column5]],SEARCH("(",Page012[[#This Row],[Column5]])+1,SEARCH(")",Page012[[#This Row],[Column5]])-SEARCH("(",Page012[[#This Row],[Column5]])-1)</f>
        <v>14.27</v>
      </c>
      <c r="B725" s="68" t="s">
        <v>514</v>
      </c>
      <c r="C725" s="68" t="s">
        <v>292</v>
      </c>
      <c r="D725" s="68" t="s">
        <v>292</v>
      </c>
      <c r="E725" s="68" t="s">
        <v>515</v>
      </c>
      <c r="F725" s="68" t="s">
        <v>406</v>
      </c>
      <c r="G725" s="68">
        <v>602.70000000000005</v>
      </c>
      <c r="H725" s="100" t="str">
        <f>MID(Page012[[#This Row],[Column4]],SEARCH("(",Page012[[#This Row],[Column4]])+1,SEARCH(")",Page012[[#This Row],[Column4]])-SEARCH("(",Page012[[#This Row],[Column4]])-1)</f>
        <v>1727</v>
      </c>
      <c r="I725" s="68">
        <v>1727</v>
      </c>
      <c r="J725" s="68">
        <f t="shared" si="45"/>
        <v>0</v>
      </c>
      <c r="K725" s="68">
        <f t="shared" si="44"/>
        <v>0</v>
      </c>
      <c r="L725" s="100">
        <f t="shared" si="46"/>
        <v>-0.42486133646629831</v>
      </c>
      <c r="M725" s="68">
        <f t="shared" si="47"/>
        <v>10</v>
      </c>
    </row>
    <row r="726" spans="1:13">
      <c r="A726" s="100" t="str">
        <f>MID(Page012[[#This Row],[Column5]],SEARCH("(",Page012[[#This Row],[Column5]])+1,SEARCH(")",Page012[[#This Row],[Column5]])-SEARCH("(",Page012[[#This Row],[Column5]])-1)</f>
        <v>15.88</v>
      </c>
      <c r="B726" s="68" t="s">
        <v>514</v>
      </c>
      <c r="C726" s="68" t="s">
        <v>292</v>
      </c>
      <c r="D726" s="68" t="s">
        <v>292</v>
      </c>
      <c r="E726" s="68" t="s">
        <v>515</v>
      </c>
      <c r="F726" s="68" t="s">
        <v>400</v>
      </c>
      <c r="G726" s="68">
        <v>670.12</v>
      </c>
      <c r="H726" s="100" t="str">
        <f>MID(Page012[[#This Row],[Column4]],SEARCH("(",Page012[[#This Row],[Column4]])+1,SEARCH(")",Page012[[#This Row],[Column4]])-SEARCH("(",Page012[[#This Row],[Column4]])-1)</f>
        <v>1727</v>
      </c>
      <c r="I726" s="68">
        <v>1727</v>
      </c>
      <c r="J726" s="68">
        <f t="shared" si="45"/>
        <v>0</v>
      </c>
      <c r="K726" s="68">
        <f t="shared" si="44"/>
        <v>0</v>
      </c>
      <c r="L726" s="100">
        <f t="shared" si="46"/>
        <v>-0.42486133646629831</v>
      </c>
      <c r="M726" s="68">
        <f t="shared" si="47"/>
        <v>10</v>
      </c>
    </row>
    <row r="727" spans="1:13">
      <c r="A727" s="100" t="str">
        <f>MID(Page012[[#This Row],[Column5]],SEARCH("(",Page012[[#This Row],[Column5]])+1,SEARCH(")",Page012[[#This Row],[Column5]])-SEARCH("(",Page012[[#This Row],[Column5]])-1)</f>
        <v>17.48</v>
      </c>
      <c r="B727" s="68" t="s">
        <v>514</v>
      </c>
      <c r="C727" s="68" t="s">
        <v>292</v>
      </c>
      <c r="D727" s="68" t="s">
        <v>292</v>
      </c>
      <c r="E727" s="68" t="s">
        <v>515</v>
      </c>
      <c r="F727" s="68" t="s">
        <v>438</v>
      </c>
      <c r="G727" s="68">
        <v>736.95</v>
      </c>
      <c r="H727" s="100" t="str">
        <f>MID(Page012[[#This Row],[Column4]],SEARCH("(",Page012[[#This Row],[Column4]])+1,SEARCH(")",Page012[[#This Row],[Column4]])-SEARCH("(",Page012[[#This Row],[Column4]])-1)</f>
        <v>1727</v>
      </c>
      <c r="I727" s="68">
        <v>1727</v>
      </c>
      <c r="J727" s="68">
        <f t="shared" si="45"/>
        <v>0</v>
      </c>
      <c r="K727" s="68">
        <f t="shared" si="44"/>
        <v>0</v>
      </c>
      <c r="L727" s="100">
        <f t="shared" si="46"/>
        <v>-0.42486133646629831</v>
      </c>
      <c r="M727" s="68">
        <f t="shared" si="47"/>
        <v>10</v>
      </c>
    </row>
    <row r="728" spans="1:13">
      <c r="A728" s="100" t="str">
        <f>MID(Page012[[#This Row],[Column5]],SEARCH("(",Page012[[#This Row],[Column5]])+1,SEARCH(")",Page012[[#This Row],[Column5]])-SEARCH("(",Page012[[#This Row],[Column5]])-1)</f>
        <v>19.05</v>
      </c>
      <c r="B728" s="68" t="s">
        <v>514</v>
      </c>
      <c r="C728" s="68" t="s">
        <v>292</v>
      </c>
      <c r="D728" s="68" t="s">
        <v>292</v>
      </c>
      <c r="E728" s="68" t="s">
        <v>515</v>
      </c>
      <c r="F728" s="68" t="s">
        <v>401</v>
      </c>
      <c r="G728" s="68">
        <v>802.4</v>
      </c>
      <c r="H728" s="100" t="str">
        <f>MID(Page012[[#This Row],[Column4]],SEARCH("(",Page012[[#This Row],[Column4]])+1,SEARCH(")",Page012[[#This Row],[Column4]])-SEARCH("(",Page012[[#This Row],[Column4]])-1)</f>
        <v>1727</v>
      </c>
      <c r="I728" s="68">
        <v>1727</v>
      </c>
      <c r="J728" s="68">
        <f t="shared" si="45"/>
        <v>0</v>
      </c>
      <c r="K728" s="68">
        <f t="shared" si="44"/>
        <v>0</v>
      </c>
      <c r="L728" s="100">
        <f t="shared" si="46"/>
        <v>-0.42486133646629831</v>
      </c>
      <c r="M728" s="68">
        <f t="shared" si="47"/>
        <v>10</v>
      </c>
    </row>
    <row r="729" spans="1:13">
      <c r="A729" s="100" t="str">
        <f>MID(Page012[[#This Row],[Column5]],SEARCH("(",Page012[[#This Row],[Column5]])+1,SEARCH(")",Page012[[#This Row],[Column5]])-SEARCH("(",Page012[[#This Row],[Column5]])-1)</f>
        <v>20.62</v>
      </c>
      <c r="B729" s="68" t="s">
        <v>514</v>
      </c>
      <c r="C729" s="68" t="s">
        <v>292</v>
      </c>
      <c r="D729" s="68" t="s">
        <v>292</v>
      </c>
      <c r="E729" s="68" t="s">
        <v>515</v>
      </c>
      <c r="F729" s="68" t="s">
        <v>421</v>
      </c>
      <c r="G729" s="68">
        <v>867</v>
      </c>
      <c r="H729" s="100" t="str">
        <f>MID(Page012[[#This Row],[Column4]],SEARCH("(",Page012[[#This Row],[Column4]])+1,SEARCH(")",Page012[[#This Row],[Column4]])-SEARCH("(",Page012[[#This Row],[Column4]])-1)</f>
        <v>1727</v>
      </c>
      <c r="I729" s="68">
        <v>1727</v>
      </c>
      <c r="J729" s="68">
        <f t="shared" si="45"/>
        <v>0</v>
      </c>
      <c r="K729" s="68">
        <f t="shared" si="44"/>
        <v>0</v>
      </c>
      <c r="L729" s="100">
        <f t="shared" si="46"/>
        <v>-0.42486133646629831</v>
      </c>
      <c r="M729" s="68">
        <f t="shared" si="47"/>
        <v>10</v>
      </c>
    </row>
    <row r="730" spans="1:13">
      <c r="A730" s="100" t="str">
        <f>MID(Page012[[#This Row],[Column5]],SEARCH("(",Page012[[#This Row],[Column5]])+1,SEARCH(")",Page012[[#This Row],[Column5]])-SEARCH("(",Page012[[#This Row],[Column5]])-1)</f>
        <v>22.23</v>
      </c>
      <c r="B730" s="68" t="s">
        <v>514</v>
      </c>
      <c r="C730" s="68" t="s">
        <v>292</v>
      </c>
      <c r="D730" s="68" t="s">
        <v>292</v>
      </c>
      <c r="E730" s="68" t="s">
        <v>515</v>
      </c>
      <c r="F730" s="68" t="s">
        <v>409</v>
      </c>
      <c r="G730" s="68">
        <v>934.6</v>
      </c>
      <c r="H730" s="100" t="str">
        <f>MID(Page012[[#This Row],[Column4]],SEARCH("(",Page012[[#This Row],[Column4]])+1,SEARCH(")",Page012[[#This Row],[Column4]])-SEARCH("(",Page012[[#This Row],[Column4]])-1)</f>
        <v>1727</v>
      </c>
      <c r="I730" s="68">
        <v>1727</v>
      </c>
      <c r="J730" s="68">
        <f t="shared" si="45"/>
        <v>0</v>
      </c>
      <c r="K730" s="68">
        <f t="shared" si="44"/>
        <v>0</v>
      </c>
      <c r="L730" s="100">
        <f t="shared" si="46"/>
        <v>-0.42486133646629831</v>
      </c>
      <c r="M730" s="68">
        <f t="shared" si="47"/>
        <v>10</v>
      </c>
    </row>
    <row r="731" spans="1:13">
      <c r="A731" s="100" t="str">
        <f>MID(Page012[[#This Row],[Column5]],SEARCH("(",Page012[[#This Row],[Column5]])+1,SEARCH(")",Page012[[#This Row],[Column5]])-SEARCH("(",Page012[[#This Row],[Column5]])-1)</f>
        <v>23.83</v>
      </c>
      <c r="B731" s="68" t="s">
        <v>514</v>
      </c>
      <c r="C731" s="68" t="s">
        <v>292</v>
      </c>
      <c r="D731" s="68" t="s">
        <v>292</v>
      </c>
      <c r="E731" s="68" t="s">
        <v>515</v>
      </c>
      <c r="F731" s="68" t="s">
        <v>431</v>
      </c>
      <c r="G731" s="68">
        <v>1000.92</v>
      </c>
      <c r="H731" s="100" t="str">
        <f>MID(Page012[[#This Row],[Column4]],SEARCH("(",Page012[[#This Row],[Column4]])+1,SEARCH(")",Page012[[#This Row],[Column4]])-SEARCH("(",Page012[[#This Row],[Column4]])-1)</f>
        <v>1727</v>
      </c>
      <c r="I731" s="68">
        <v>1727</v>
      </c>
      <c r="J731" s="68">
        <f t="shared" si="45"/>
        <v>0</v>
      </c>
      <c r="K731" s="68">
        <f t="shared" si="44"/>
        <v>0</v>
      </c>
      <c r="L731" s="100">
        <f t="shared" si="46"/>
        <v>-0.42486133646629831</v>
      </c>
      <c r="M731" s="68">
        <f t="shared" si="47"/>
        <v>10</v>
      </c>
    </row>
    <row r="732" spans="1:13">
      <c r="A732" s="100" t="str">
        <f>MID(Page012[[#This Row],[Column5]],SEARCH("(",Page012[[#This Row],[Column5]])+1,SEARCH(")",Page012[[#This Row],[Column5]])-SEARCH("(",Page012[[#This Row],[Column5]])-1)</f>
        <v>25.40</v>
      </c>
      <c r="B732" s="68" t="s">
        <v>514</v>
      </c>
      <c r="C732" s="68" t="s">
        <v>292</v>
      </c>
      <c r="D732" s="68" t="s">
        <v>292</v>
      </c>
      <c r="E732" s="68" t="s">
        <v>515</v>
      </c>
      <c r="F732" s="68" t="s">
        <v>423</v>
      </c>
      <c r="G732" s="68">
        <v>1065.8</v>
      </c>
      <c r="H732" s="100" t="str">
        <f>MID(Page012[[#This Row],[Column4]],SEARCH("(",Page012[[#This Row],[Column4]])+1,SEARCH(")",Page012[[#This Row],[Column4]])-SEARCH("(",Page012[[#This Row],[Column4]])-1)</f>
        <v>1727</v>
      </c>
      <c r="I732" s="68">
        <v>1727</v>
      </c>
      <c r="J732" s="68">
        <f t="shared" si="45"/>
        <v>0</v>
      </c>
      <c r="K732" s="68">
        <f t="shared" si="44"/>
        <v>0</v>
      </c>
      <c r="L732" s="100">
        <f t="shared" si="46"/>
        <v>-0.42486133646629831</v>
      </c>
      <c r="M732" s="68">
        <f t="shared" si="47"/>
        <v>10</v>
      </c>
    </row>
    <row r="733" spans="1:13">
      <c r="A733" s="100" t="str">
        <f>MID(Page012[[#This Row],[Column5]],SEARCH("(",Page012[[#This Row],[Column5]])+1,SEARCH(")",Page012[[#This Row],[Column5]])-SEARCH("(",Page012[[#This Row],[Column5]])-1)</f>
        <v>26.97</v>
      </c>
      <c r="B733" s="68" t="s">
        <v>514</v>
      </c>
      <c r="C733" s="68" t="s">
        <v>292</v>
      </c>
      <c r="D733" s="68" t="s">
        <v>292</v>
      </c>
      <c r="E733" s="68" t="s">
        <v>515</v>
      </c>
      <c r="F733" s="68" t="s">
        <v>439</v>
      </c>
      <c r="G733" s="68">
        <v>1130.7</v>
      </c>
      <c r="H733" s="100" t="str">
        <f>MID(Page012[[#This Row],[Column4]],SEARCH("(",Page012[[#This Row],[Column4]])+1,SEARCH(")",Page012[[#This Row],[Column4]])-SEARCH("(",Page012[[#This Row],[Column4]])-1)</f>
        <v>1727</v>
      </c>
      <c r="I733" s="68">
        <v>1727</v>
      </c>
      <c r="J733" s="68">
        <f t="shared" si="45"/>
        <v>0</v>
      </c>
      <c r="K733" s="68">
        <f t="shared" si="44"/>
        <v>0</v>
      </c>
      <c r="L733" s="100">
        <f t="shared" si="46"/>
        <v>-0.42486133646629831</v>
      </c>
      <c r="M733" s="68">
        <f t="shared" si="47"/>
        <v>10</v>
      </c>
    </row>
    <row r="734" spans="1:13">
      <c r="A734" s="100" t="str">
        <f>MID(Page012[[#This Row],[Column5]],SEARCH("(",Page012[[#This Row],[Column5]])+1,SEARCH(")",Page012[[#This Row],[Column5]])-SEARCH("(",Page012[[#This Row],[Column5]])-1)</f>
        <v>28.58</v>
      </c>
      <c r="B734" s="68" t="s">
        <v>514</v>
      </c>
      <c r="C734" s="68" t="s">
        <v>292</v>
      </c>
      <c r="D734" s="68" t="s">
        <v>292</v>
      </c>
      <c r="E734" s="68" t="s">
        <v>515</v>
      </c>
      <c r="F734" s="68" t="s">
        <v>432</v>
      </c>
      <c r="G734" s="68">
        <v>1197</v>
      </c>
      <c r="H734" s="100" t="str">
        <f>MID(Page012[[#This Row],[Column4]],SEARCH("(",Page012[[#This Row],[Column4]])+1,SEARCH(")",Page012[[#This Row],[Column4]])-SEARCH("(",Page012[[#This Row],[Column4]])-1)</f>
        <v>1727</v>
      </c>
      <c r="I734" s="68">
        <v>1727</v>
      </c>
      <c r="J734" s="68">
        <f t="shared" si="45"/>
        <v>0</v>
      </c>
      <c r="K734" s="68">
        <f t="shared" si="44"/>
        <v>0</v>
      </c>
      <c r="L734" s="100">
        <f t="shared" si="46"/>
        <v>-0.42486133646629831</v>
      </c>
      <c r="M734" s="68">
        <f t="shared" si="47"/>
        <v>10</v>
      </c>
    </row>
    <row r="735" spans="1:13">
      <c r="A735" s="100" t="str">
        <f>MID(Page012[[#This Row],[Column5]],SEARCH("(",Page012[[#This Row],[Column5]])+1,SEARCH(")",Page012[[#This Row],[Column5]])-SEARCH("(",Page012[[#This Row],[Column5]])-1)</f>
        <v>30.18</v>
      </c>
      <c r="B735" s="68" t="s">
        <v>514</v>
      </c>
      <c r="C735" s="68" t="s">
        <v>292</v>
      </c>
      <c r="D735" s="68" t="s">
        <v>292</v>
      </c>
      <c r="E735" s="68" t="s">
        <v>515</v>
      </c>
      <c r="F735" s="68" t="s">
        <v>455</v>
      </c>
      <c r="G735" s="68">
        <v>1262.9000000000001</v>
      </c>
      <c r="H735" s="100" t="str">
        <f>MID(Page012[[#This Row],[Column4]],SEARCH("(",Page012[[#This Row],[Column4]])+1,SEARCH(")",Page012[[#This Row],[Column4]])-SEARCH("(",Page012[[#This Row],[Column4]])-1)</f>
        <v>1727</v>
      </c>
      <c r="I735" s="68">
        <v>1727</v>
      </c>
      <c r="J735" s="68">
        <f t="shared" si="45"/>
        <v>0</v>
      </c>
      <c r="K735" s="68">
        <f t="shared" si="44"/>
        <v>0</v>
      </c>
      <c r="L735" s="100">
        <f t="shared" si="46"/>
        <v>-0.42486133646629831</v>
      </c>
      <c r="M735" s="68">
        <f t="shared" si="47"/>
        <v>10</v>
      </c>
    </row>
    <row r="736" spans="1:13">
      <c r="A736" s="100" t="str">
        <f>MID(Page012[[#This Row],[Column5]],SEARCH("(",Page012[[#This Row],[Column5]])+1,SEARCH(")",Page012[[#This Row],[Column5]])-SEARCH("(",Page012[[#This Row],[Column5]])-1)</f>
        <v>31.75</v>
      </c>
      <c r="B736" s="68" t="s">
        <v>514</v>
      </c>
      <c r="C736" s="68" t="s">
        <v>292</v>
      </c>
      <c r="D736" s="68" t="s">
        <v>292</v>
      </c>
      <c r="E736" s="68" t="s">
        <v>515</v>
      </c>
      <c r="F736" s="68" t="s">
        <v>433</v>
      </c>
      <c r="G736" s="68">
        <v>1327.69</v>
      </c>
      <c r="H736" s="100" t="str">
        <f>MID(Page012[[#This Row],[Column4]],SEARCH("(",Page012[[#This Row],[Column4]])+1,SEARCH(")",Page012[[#This Row],[Column4]])-SEARCH("(",Page012[[#This Row],[Column4]])-1)</f>
        <v>1727</v>
      </c>
      <c r="I736" s="68">
        <v>1727</v>
      </c>
      <c r="J736" s="68">
        <f t="shared" si="45"/>
        <v>0</v>
      </c>
      <c r="K736" s="68">
        <f t="shared" si="44"/>
        <v>0</v>
      </c>
      <c r="L736" s="100">
        <f t="shared" si="46"/>
        <v>-0.42486133646629831</v>
      </c>
      <c r="M736" s="68">
        <f t="shared" si="47"/>
        <v>10</v>
      </c>
    </row>
    <row r="737" spans="1:13">
      <c r="A737" s="100" t="str">
        <f>MID(Page012[[#This Row],[Column5]],SEARCH("(",Page012[[#This Row],[Column5]])+1,SEARCH(")",Page012[[#This Row],[Column5]])-SEARCH("(",Page012[[#This Row],[Column5]])-1)</f>
        <v>12.70</v>
      </c>
      <c r="B737" s="68" t="s">
        <v>516</v>
      </c>
      <c r="C737" s="68" t="s">
        <v>292</v>
      </c>
      <c r="D737" s="68" t="s">
        <v>292</v>
      </c>
      <c r="E737" s="68" t="s">
        <v>517</v>
      </c>
      <c r="F737" s="68" t="s">
        <v>399</v>
      </c>
      <c r="G737" s="68">
        <v>568</v>
      </c>
      <c r="H737" s="100" t="str">
        <f>MID(Page012[[#This Row],[Column4]],SEARCH("(",Page012[[#This Row],[Column4]])+1,SEARCH(")",Page012[[#This Row],[Column4]])-SEARCH("(",Page012[[#This Row],[Column4]])-1)</f>
        <v>1829</v>
      </c>
      <c r="I737" s="68">
        <v>1829</v>
      </c>
      <c r="J737" s="68">
        <f t="shared" si="45"/>
        <v>0</v>
      </c>
      <c r="K737" s="68">
        <f t="shared" si="44"/>
        <v>0</v>
      </c>
      <c r="L737" s="100">
        <f t="shared" si="46"/>
        <v>-0.42486133646629831</v>
      </c>
      <c r="M737" s="68">
        <f t="shared" si="47"/>
        <v>10</v>
      </c>
    </row>
    <row r="738" spans="1:13">
      <c r="A738" s="100" t="str">
        <f>MID(Page012[[#This Row],[Column5]],SEARCH("(",Page012[[#This Row],[Column5]])+1,SEARCH(")",Page012[[#This Row],[Column5]])-SEARCH("(",Page012[[#This Row],[Column5]])-1)</f>
        <v>14.27</v>
      </c>
      <c r="B738" s="68" t="s">
        <v>516</v>
      </c>
      <c r="C738" s="68" t="s">
        <v>292</v>
      </c>
      <c r="D738" s="68" t="s">
        <v>292</v>
      </c>
      <c r="E738" s="68" t="s">
        <v>517</v>
      </c>
      <c r="F738" s="68" t="s">
        <v>406</v>
      </c>
      <c r="G738" s="68">
        <v>638</v>
      </c>
      <c r="H738" s="100" t="str">
        <f>MID(Page012[[#This Row],[Column4]],SEARCH("(",Page012[[#This Row],[Column4]])+1,SEARCH(")",Page012[[#This Row],[Column4]])-SEARCH("(",Page012[[#This Row],[Column4]])-1)</f>
        <v>1829</v>
      </c>
      <c r="I738" s="68">
        <v>1829</v>
      </c>
      <c r="J738" s="68">
        <f t="shared" si="45"/>
        <v>0</v>
      </c>
      <c r="K738" s="68">
        <f t="shared" si="44"/>
        <v>0</v>
      </c>
      <c r="L738" s="100">
        <f t="shared" si="46"/>
        <v>-0.42486133646629831</v>
      </c>
      <c r="M738" s="68">
        <f t="shared" si="47"/>
        <v>10</v>
      </c>
    </row>
    <row r="739" spans="1:13">
      <c r="A739" s="100" t="str">
        <f>MID(Page012[[#This Row],[Column5]],SEARCH("(",Page012[[#This Row],[Column5]])+1,SEARCH(")",Page012[[#This Row],[Column5]])-SEARCH("(",Page012[[#This Row],[Column5]])-1)</f>
        <v>15.88</v>
      </c>
      <c r="B739" s="68" t="s">
        <v>516</v>
      </c>
      <c r="C739" s="68" t="s">
        <v>292</v>
      </c>
      <c r="D739" s="68" t="s">
        <v>292</v>
      </c>
      <c r="E739" s="68" t="s">
        <v>517</v>
      </c>
      <c r="F739" s="68" t="s">
        <v>400</v>
      </c>
      <c r="G739" s="68">
        <v>710</v>
      </c>
      <c r="H739" s="100" t="str">
        <f>MID(Page012[[#This Row],[Column4]],SEARCH("(",Page012[[#This Row],[Column4]])+1,SEARCH(")",Page012[[#This Row],[Column4]])-SEARCH("(",Page012[[#This Row],[Column4]])-1)</f>
        <v>1829</v>
      </c>
      <c r="I739" s="68">
        <v>1829</v>
      </c>
      <c r="J739" s="68">
        <f t="shared" si="45"/>
        <v>0</v>
      </c>
      <c r="K739" s="68">
        <f t="shared" si="44"/>
        <v>0</v>
      </c>
      <c r="L739" s="100">
        <f t="shared" si="46"/>
        <v>-0.42486133646629831</v>
      </c>
      <c r="M739" s="68">
        <f t="shared" si="47"/>
        <v>10</v>
      </c>
    </row>
    <row r="740" spans="1:13">
      <c r="A740" s="100" t="str">
        <f>MID(Page012[[#This Row],[Column5]],SEARCH("(",Page012[[#This Row],[Column5]])+1,SEARCH(")",Page012[[#This Row],[Column5]])-SEARCH("(",Page012[[#This Row],[Column5]])-1)</f>
        <v>17.48</v>
      </c>
      <c r="B740" s="68" t="s">
        <v>516</v>
      </c>
      <c r="C740" s="68" t="s">
        <v>292</v>
      </c>
      <c r="D740" s="68" t="s">
        <v>292</v>
      </c>
      <c r="E740" s="68" t="s">
        <v>517</v>
      </c>
      <c r="F740" s="68" t="s">
        <v>438</v>
      </c>
      <c r="G740" s="68">
        <v>780.9</v>
      </c>
      <c r="H740" s="100" t="str">
        <f>MID(Page012[[#This Row],[Column4]],SEARCH("(",Page012[[#This Row],[Column4]])+1,SEARCH(")",Page012[[#This Row],[Column4]])-SEARCH("(",Page012[[#This Row],[Column4]])-1)</f>
        <v>1829</v>
      </c>
      <c r="I740" s="68">
        <v>1829</v>
      </c>
      <c r="J740" s="68">
        <f t="shared" si="45"/>
        <v>0</v>
      </c>
      <c r="K740" s="68">
        <f t="shared" si="44"/>
        <v>0</v>
      </c>
      <c r="L740" s="100">
        <f t="shared" si="46"/>
        <v>-0.42486133646629831</v>
      </c>
      <c r="M740" s="68">
        <f t="shared" si="47"/>
        <v>10</v>
      </c>
    </row>
    <row r="741" spans="1:13">
      <c r="A741" s="100" t="str">
        <f>MID(Page012[[#This Row],[Column5]],SEARCH("(",Page012[[#This Row],[Column5]])+1,SEARCH(")",Page012[[#This Row],[Column5]])-SEARCH("(",Page012[[#This Row],[Column5]])-1)</f>
        <v>19.05</v>
      </c>
      <c r="B741" s="68" t="s">
        <v>516</v>
      </c>
      <c r="C741" s="68" t="s">
        <v>292</v>
      </c>
      <c r="D741" s="68" t="s">
        <v>292</v>
      </c>
      <c r="E741" s="68" t="s">
        <v>517</v>
      </c>
      <c r="F741" s="68" t="s">
        <v>401</v>
      </c>
      <c r="G741" s="68">
        <v>850</v>
      </c>
      <c r="H741" s="100" t="str">
        <f>MID(Page012[[#This Row],[Column4]],SEARCH("(",Page012[[#This Row],[Column4]])+1,SEARCH(")",Page012[[#This Row],[Column4]])-SEARCH("(",Page012[[#This Row],[Column4]])-1)</f>
        <v>1829</v>
      </c>
      <c r="I741" s="68">
        <v>1829</v>
      </c>
      <c r="J741" s="68">
        <f t="shared" si="45"/>
        <v>0</v>
      </c>
      <c r="K741" s="68">
        <f t="shared" si="44"/>
        <v>0</v>
      </c>
      <c r="L741" s="100">
        <f t="shared" si="46"/>
        <v>-0.42486133646629831</v>
      </c>
      <c r="M741" s="68">
        <f t="shared" si="47"/>
        <v>10</v>
      </c>
    </row>
    <row r="742" spans="1:13">
      <c r="A742" s="100" t="str">
        <f>MID(Page012[[#This Row],[Column5]],SEARCH("(",Page012[[#This Row],[Column5]])+1,SEARCH(")",Page012[[#This Row],[Column5]])-SEARCH("(",Page012[[#This Row],[Column5]])-1)</f>
        <v>20.62</v>
      </c>
      <c r="B742" s="68" t="s">
        <v>516</v>
      </c>
      <c r="C742" s="68" t="s">
        <v>292</v>
      </c>
      <c r="D742" s="68" t="s">
        <v>292</v>
      </c>
      <c r="E742" s="68" t="s">
        <v>517</v>
      </c>
      <c r="F742" s="68" t="s">
        <v>421</v>
      </c>
      <c r="G742" s="68">
        <v>919</v>
      </c>
      <c r="H742" s="100" t="str">
        <f>MID(Page012[[#This Row],[Column4]],SEARCH("(",Page012[[#This Row],[Column4]])+1,SEARCH(")",Page012[[#This Row],[Column4]])-SEARCH("(",Page012[[#This Row],[Column4]])-1)</f>
        <v>1829</v>
      </c>
      <c r="I742" s="68">
        <v>1829</v>
      </c>
      <c r="J742" s="68">
        <f t="shared" si="45"/>
        <v>0</v>
      </c>
      <c r="K742" s="68">
        <f t="shared" si="44"/>
        <v>0</v>
      </c>
      <c r="L742" s="100">
        <f t="shared" si="46"/>
        <v>-0.42486133646629831</v>
      </c>
      <c r="M742" s="68">
        <f t="shared" si="47"/>
        <v>10</v>
      </c>
    </row>
    <row r="743" spans="1:13">
      <c r="A743" s="100" t="str">
        <f>MID(Page012[[#This Row],[Column5]],SEARCH("(",Page012[[#This Row],[Column5]])+1,SEARCH(")",Page012[[#This Row],[Column5]])-SEARCH("(",Page012[[#This Row],[Column5]])-1)</f>
        <v>22.23</v>
      </c>
      <c r="B743" s="68" t="s">
        <v>516</v>
      </c>
      <c r="C743" s="68" t="s">
        <v>292</v>
      </c>
      <c r="D743" s="68" t="s">
        <v>292</v>
      </c>
      <c r="E743" s="68" t="s">
        <v>517</v>
      </c>
      <c r="F743" s="68" t="s">
        <v>409</v>
      </c>
      <c r="G743" s="68">
        <v>990</v>
      </c>
      <c r="H743" s="100" t="str">
        <f>MID(Page012[[#This Row],[Column4]],SEARCH("(",Page012[[#This Row],[Column4]])+1,SEARCH(")",Page012[[#This Row],[Column4]])-SEARCH("(",Page012[[#This Row],[Column4]])-1)</f>
        <v>1829</v>
      </c>
      <c r="I743" s="68">
        <v>1829</v>
      </c>
      <c r="J743" s="68">
        <f t="shared" si="45"/>
        <v>0</v>
      </c>
      <c r="K743" s="68">
        <f t="shared" si="44"/>
        <v>0</v>
      </c>
      <c r="L743" s="100">
        <f t="shared" si="46"/>
        <v>-0.42486133646629831</v>
      </c>
      <c r="M743" s="68">
        <f t="shared" si="47"/>
        <v>10</v>
      </c>
    </row>
    <row r="744" spans="1:13">
      <c r="A744" s="100" t="str">
        <f>MID(Page012[[#This Row],[Column5]],SEARCH("(",Page012[[#This Row],[Column5]])+1,SEARCH(")",Page012[[#This Row],[Column5]])-SEARCH("(",Page012[[#This Row],[Column5]])-1)</f>
        <v>23.83</v>
      </c>
      <c r="B744" s="68" t="s">
        <v>516</v>
      </c>
      <c r="C744" s="68" t="s">
        <v>292</v>
      </c>
      <c r="D744" s="68" t="s">
        <v>292</v>
      </c>
      <c r="E744" s="68" t="s">
        <v>517</v>
      </c>
      <c r="F744" s="68" t="s">
        <v>431</v>
      </c>
      <c r="G744" s="68">
        <v>1060.8</v>
      </c>
      <c r="H744" s="100" t="str">
        <f>MID(Page012[[#This Row],[Column4]],SEARCH("(",Page012[[#This Row],[Column4]])+1,SEARCH(")",Page012[[#This Row],[Column4]])-SEARCH("(",Page012[[#This Row],[Column4]])-1)</f>
        <v>1829</v>
      </c>
      <c r="I744" s="68">
        <v>1829</v>
      </c>
      <c r="J744" s="68">
        <f t="shared" si="45"/>
        <v>0</v>
      </c>
      <c r="K744" s="68">
        <f t="shared" si="44"/>
        <v>0</v>
      </c>
      <c r="L744" s="100">
        <f t="shared" si="46"/>
        <v>-0.42486133646629831</v>
      </c>
      <c r="M744" s="68">
        <f t="shared" si="47"/>
        <v>10</v>
      </c>
    </row>
    <row r="745" spans="1:13">
      <c r="A745" s="100" t="str">
        <f>MID(Page012[[#This Row],[Column5]],SEARCH("(",Page012[[#This Row],[Column5]])+1,SEARCH(")",Page012[[#This Row],[Column5]])-SEARCH("(",Page012[[#This Row],[Column5]])-1)</f>
        <v>25.40</v>
      </c>
      <c r="B745" s="68" t="s">
        <v>516</v>
      </c>
      <c r="C745" s="68" t="s">
        <v>292</v>
      </c>
      <c r="D745" s="68" t="s">
        <v>292</v>
      </c>
      <c r="E745" s="68" t="s">
        <v>517</v>
      </c>
      <c r="F745" s="68" t="s">
        <v>423</v>
      </c>
      <c r="G745" s="68">
        <v>1129</v>
      </c>
      <c r="H745" s="100" t="str">
        <f>MID(Page012[[#This Row],[Column4]],SEARCH("(",Page012[[#This Row],[Column4]])+1,SEARCH(")",Page012[[#This Row],[Column4]])-SEARCH("(",Page012[[#This Row],[Column4]])-1)</f>
        <v>1829</v>
      </c>
      <c r="I745" s="68">
        <v>1829</v>
      </c>
      <c r="J745" s="68">
        <f t="shared" si="45"/>
        <v>0</v>
      </c>
      <c r="K745" s="68">
        <f t="shared" si="44"/>
        <v>0</v>
      </c>
      <c r="L745" s="100">
        <f t="shared" si="46"/>
        <v>-0.42486133646629831</v>
      </c>
      <c r="M745" s="68">
        <f t="shared" si="47"/>
        <v>10</v>
      </c>
    </row>
    <row r="746" spans="1:13">
      <c r="A746" s="100" t="str">
        <f>MID(Page012[[#This Row],[Column5]],SEARCH("(",Page012[[#This Row],[Column5]])+1,SEARCH(")",Page012[[#This Row],[Column5]])-SEARCH("(",Page012[[#This Row],[Column5]])-1)</f>
        <v>26.97</v>
      </c>
      <c r="B746" s="68" t="s">
        <v>516</v>
      </c>
      <c r="C746" s="68" t="s">
        <v>292</v>
      </c>
      <c r="D746" s="68" t="s">
        <v>292</v>
      </c>
      <c r="E746" s="68" t="s">
        <v>517</v>
      </c>
      <c r="F746" s="68" t="s">
        <v>439</v>
      </c>
      <c r="G746" s="68">
        <v>1198</v>
      </c>
      <c r="H746" s="100" t="str">
        <f>MID(Page012[[#This Row],[Column4]],SEARCH("(",Page012[[#This Row],[Column4]])+1,SEARCH(")",Page012[[#This Row],[Column4]])-SEARCH("(",Page012[[#This Row],[Column4]])-1)</f>
        <v>1829</v>
      </c>
      <c r="I746" s="68">
        <v>1829</v>
      </c>
      <c r="J746" s="68">
        <f t="shared" si="45"/>
        <v>0</v>
      </c>
      <c r="K746" s="68">
        <f t="shared" si="44"/>
        <v>0</v>
      </c>
      <c r="L746" s="100">
        <f t="shared" si="46"/>
        <v>-0.42486133646629831</v>
      </c>
      <c r="M746" s="68">
        <f t="shared" si="47"/>
        <v>10</v>
      </c>
    </row>
    <row r="747" spans="1:13">
      <c r="A747" s="100" t="str">
        <f>MID(Page012[[#This Row],[Column5]],SEARCH("(",Page012[[#This Row],[Column5]])+1,SEARCH(")",Page012[[#This Row],[Column5]])-SEARCH("(",Page012[[#This Row],[Column5]])-1)</f>
        <v>28.58</v>
      </c>
      <c r="B747" s="68" t="s">
        <v>516</v>
      </c>
      <c r="C747" s="68" t="s">
        <v>292</v>
      </c>
      <c r="D747" s="68" t="s">
        <v>292</v>
      </c>
      <c r="E747" s="68" t="s">
        <v>517</v>
      </c>
      <c r="F747" s="68" t="s">
        <v>432</v>
      </c>
      <c r="G747" s="68">
        <v>1268</v>
      </c>
      <c r="H747" s="100" t="str">
        <f>MID(Page012[[#This Row],[Column4]],SEARCH("(",Page012[[#This Row],[Column4]])+1,SEARCH(")",Page012[[#This Row],[Column4]])-SEARCH("(",Page012[[#This Row],[Column4]])-1)</f>
        <v>1829</v>
      </c>
      <c r="I747" s="68">
        <v>1829</v>
      </c>
      <c r="J747" s="68">
        <f t="shared" si="45"/>
        <v>0</v>
      </c>
      <c r="K747" s="68">
        <f t="shared" si="44"/>
        <v>0</v>
      </c>
      <c r="L747" s="100">
        <f t="shared" si="46"/>
        <v>-0.42486133646629831</v>
      </c>
      <c r="M747" s="68">
        <f t="shared" si="47"/>
        <v>10</v>
      </c>
    </row>
    <row r="748" spans="1:13">
      <c r="A748" s="100" t="str">
        <f>MID(Page012[[#This Row],[Column5]],SEARCH("(",Page012[[#This Row],[Column5]])+1,SEARCH(")",Page012[[#This Row],[Column5]])-SEARCH("(",Page012[[#This Row],[Column5]])-1)</f>
        <v>30.18</v>
      </c>
      <c r="B748" s="68" t="s">
        <v>516</v>
      </c>
      <c r="C748" s="68" t="s">
        <v>292</v>
      </c>
      <c r="D748" s="68" t="s">
        <v>292</v>
      </c>
      <c r="E748" s="68" t="s">
        <v>517</v>
      </c>
      <c r="F748" s="68" t="s">
        <v>455</v>
      </c>
      <c r="G748" s="68">
        <v>1338.8</v>
      </c>
      <c r="H748" s="100" t="str">
        <f>MID(Page012[[#This Row],[Column4]],SEARCH("(",Page012[[#This Row],[Column4]])+1,SEARCH(")",Page012[[#This Row],[Column4]])-SEARCH("(",Page012[[#This Row],[Column4]])-1)</f>
        <v>1829</v>
      </c>
      <c r="I748" s="68">
        <v>1829</v>
      </c>
      <c r="J748" s="68">
        <f t="shared" si="45"/>
        <v>0</v>
      </c>
      <c r="K748" s="68">
        <f t="shared" si="44"/>
        <v>0</v>
      </c>
      <c r="L748" s="100">
        <f t="shared" si="46"/>
        <v>-0.42486133646629831</v>
      </c>
      <c r="M748" s="68">
        <f t="shared" si="47"/>
        <v>10</v>
      </c>
    </row>
    <row r="749" spans="1:13">
      <c r="A749" s="100" t="str">
        <f>MID(Page012[[#This Row],[Column5]],SEARCH("(",Page012[[#This Row],[Column5]])+1,SEARCH(")",Page012[[#This Row],[Column5]])-SEARCH("(",Page012[[#This Row],[Column5]])-1)</f>
        <v>31.75</v>
      </c>
      <c r="B749" s="68" t="s">
        <v>516</v>
      </c>
      <c r="C749" s="68" t="s">
        <v>292</v>
      </c>
      <c r="D749" s="68" t="s">
        <v>292</v>
      </c>
      <c r="E749" s="68" t="s">
        <v>517</v>
      </c>
      <c r="F749" s="68" t="s">
        <v>433</v>
      </c>
      <c r="G749" s="68">
        <v>1407</v>
      </c>
      <c r="H749" s="100" t="str">
        <f>MID(Page012[[#This Row],[Column4]],SEARCH("(",Page012[[#This Row],[Column4]])+1,SEARCH(")",Page012[[#This Row],[Column4]])-SEARCH("(",Page012[[#This Row],[Column4]])-1)</f>
        <v>1829</v>
      </c>
      <c r="I749" s="68">
        <v>1829</v>
      </c>
      <c r="J749" s="68">
        <f t="shared" si="45"/>
        <v>0</v>
      </c>
      <c r="K749" s="68">
        <f t="shared" si="44"/>
        <v>0</v>
      </c>
      <c r="L749" s="100">
        <f t="shared" si="46"/>
        <v>-0.42486133646629831</v>
      </c>
      <c r="M749" s="68">
        <f t="shared" si="47"/>
        <v>10</v>
      </c>
    </row>
    <row r="750" spans="1:13">
      <c r="A750" s="100" t="str">
        <f>MID(Page012[[#This Row],[Column5]],SEARCH("(",Page012[[#This Row],[Column5]])+1,SEARCH(")",Page012[[#This Row],[Column5]])-SEARCH("(",Page012[[#This Row],[Column5]])-1)</f>
        <v>12.70</v>
      </c>
      <c r="B750" s="68" t="s">
        <v>518</v>
      </c>
      <c r="C750" s="68" t="s">
        <v>292</v>
      </c>
      <c r="D750" s="68" t="s">
        <v>292</v>
      </c>
      <c r="E750" s="68" t="s">
        <v>519</v>
      </c>
      <c r="F750" s="68" t="s">
        <v>399</v>
      </c>
      <c r="G750" s="68">
        <v>600.5</v>
      </c>
      <c r="H750" s="100" t="str">
        <f>MID(Page012[[#This Row],[Column4]],SEARCH("(",Page012[[#This Row],[Column4]])+1,SEARCH(")",Page012[[#This Row],[Column4]])-SEARCH("(",Page012[[#This Row],[Column4]])-1)</f>
        <v>1930</v>
      </c>
      <c r="I750" s="68">
        <v>1930</v>
      </c>
      <c r="J750" s="68">
        <f t="shared" si="45"/>
        <v>0</v>
      </c>
      <c r="K750" s="68">
        <f t="shared" si="44"/>
        <v>0</v>
      </c>
      <c r="L750" s="100">
        <f t="shared" si="46"/>
        <v>-0.42486133646629831</v>
      </c>
      <c r="M750" s="68">
        <f t="shared" si="47"/>
        <v>10</v>
      </c>
    </row>
    <row r="751" spans="1:13">
      <c r="A751" s="100" t="str">
        <f>MID(Page012[[#This Row],[Column5]],SEARCH("(",Page012[[#This Row],[Column5]])+1,SEARCH(")",Page012[[#This Row],[Column5]])-SEARCH("(",Page012[[#This Row],[Column5]])-1)</f>
        <v>14.27</v>
      </c>
      <c r="B751" s="68" t="s">
        <v>518</v>
      </c>
      <c r="C751" s="68" t="s">
        <v>292</v>
      </c>
      <c r="D751" s="68" t="s">
        <v>292</v>
      </c>
      <c r="E751" s="68" t="s">
        <v>519</v>
      </c>
      <c r="F751" s="68" t="s">
        <v>406</v>
      </c>
      <c r="G751" s="68">
        <v>674</v>
      </c>
      <c r="H751" s="100" t="str">
        <f>MID(Page012[[#This Row],[Column4]],SEARCH("(",Page012[[#This Row],[Column4]])+1,SEARCH(")",Page012[[#This Row],[Column4]])-SEARCH("(",Page012[[#This Row],[Column4]])-1)</f>
        <v>1930</v>
      </c>
      <c r="I751" s="68">
        <v>1930</v>
      </c>
      <c r="J751" s="68">
        <f t="shared" si="45"/>
        <v>0</v>
      </c>
      <c r="K751" s="68">
        <f t="shared" si="44"/>
        <v>0</v>
      </c>
      <c r="L751" s="100">
        <f t="shared" si="46"/>
        <v>-0.42486133646629831</v>
      </c>
      <c r="M751" s="68">
        <f t="shared" si="47"/>
        <v>10</v>
      </c>
    </row>
    <row r="752" spans="1:13">
      <c r="A752" s="100" t="str">
        <f>MID(Page012[[#This Row],[Column5]],SEARCH("(",Page012[[#This Row],[Column5]])+1,SEARCH(")",Page012[[#This Row],[Column5]])-SEARCH("(",Page012[[#This Row],[Column5]])-1)</f>
        <v>15.88</v>
      </c>
      <c r="B752" s="68" t="s">
        <v>518</v>
      </c>
      <c r="C752" s="68" t="s">
        <v>292</v>
      </c>
      <c r="D752" s="68" t="s">
        <v>292</v>
      </c>
      <c r="E752" s="68" t="s">
        <v>519</v>
      </c>
      <c r="F752" s="68" t="s">
        <v>400</v>
      </c>
      <c r="G752" s="68">
        <v>749</v>
      </c>
      <c r="H752" s="100" t="str">
        <f>MID(Page012[[#This Row],[Column4]],SEARCH("(",Page012[[#This Row],[Column4]])+1,SEARCH(")",Page012[[#This Row],[Column4]])-SEARCH("(",Page012[[#This Row],[Column4]])-1)</f>
        <v>1930</v>
      </c>
      <c r="I752" s="68">
        <v>1930</v>
      </c>
      <c r="J752" s="68">
        <f t="shared" si="45"/>
        <v>0</v>
      </c>
      <c r="K752" s="68">
        <f t="shared" si="44"/>
        <v>0</v>
      </c>
      <c r="L752" s="100">
        <f t="shared" si="46"/>
        <v>-0.42486133646629831</v>
      </c>
      <c r="M752" s="68">
        <f t="shared" si="47"/>
        <v>10</v>
      </c>
    </row>
    <row r="753" spans="1:13">
      <c r="A753" s="100" t="str">
        <f>MID(Page012[[#This Row],[Column5]],SEARCH("(",Page012[[#This Row],[Column5]])+1,SEARCH(")",Page012[[#This Row],[Column5]])-SEARCH("(",Page012[[#This Row],[Column5]])-1)</f>
        <v>17.48</v>
      </c>
      <c r="B753" s="68" t="s">
        <v>518</v>
      </c>
      <c r="C753" s="68" t="s">
        <v>292</v>
      </c>
      <c r="D753" s="68" t="s">
        <v>292</v>
      </c>
      <c r="E753" s="68" t="s">
        <v>519</v>
      </c>
      <c r="F753" s="68" t="s">
        <v>438</v>
      </c>
      <c r="G753" s="68">
        <v>824</v>
      </c>
      <c r="H753" s="100" t="str">
        <f>MID(Page012[[#This Row],[Column4]],SEARCH("(",Page012[[#This Row],[Column4]])+1,SEARCH(")",Page012[[#This Row],[Column4]])-SEARCH("(",Page012[[#This Row],[Column4]])-1)</f>
        <v>1930</v>
      </c>
      <c r="I753" s="68">
        <v>1930</v>
      </c>
      <c r="J753" s="68">
        <f t="shared" si="45"/>
        <v>0</v>
      </c>
      <c r="K753" s="68">
        <f t="shared" si="44"/>
        <v>0</v>
      </c>
      <c r="L753" s="100">
        <f t="shared" si="46"/>
        <v>-0.42486133646629831</v>
      </c>
      <c r="M753" s="68">
        <f t="shared" si="47"/>
        <v>10</v>
      </c>
    </row>
    <row r="754" spans="1:13">
      <c r="A754" s="100" t="str">
        <f>MID(Page012[[#This Row],[Column5]],SEARCH("(",Page012[[#This Row],[Column5]])+1,SEARCH(")",Page012[[#This Row],[Column5]])-SEARCH("(",Page012[[#This Row],[Column5]])-1)</f>
        <v>19.05</v>
      </c>
      <c r="B754" s="68" t="s">
        <v>518</v>
      </c>
      <c r="C754" s="68" t="s">
        <v>292</v>
      </c>
      <c r="D754" s="68" t="s">
        <v>292</v>
      </c>
      <c r="E754" s="68" t="s">
        <v>519</v>
      </c>
      <c r="F754" s="68" t="s">
        <v>401</v>
      </c>
      <c r="G754" s="68">
        <v>897</v>
      </c>
      <c r="H754" s="100" t="str">
        <f>MID(Page012[[#This Row],[Column4]],SEARCH("(",Page012[[#This Row],[Column4]])+1,SEARCH(")",Page012[[#This Row],[Column4]])-SEARCH("(",Page012[[#This Row],[Column4]])-1)</f>
        <v>1930</v>
      </c>
      <c r="I754" s="68">
        <v>1930</v>
      </c>
      <c r="J754" s="68">
        <f t="shared" si="45"/>
        <v>0</v>
      </c>
      <c r="K754" s="68">
        <f t="shared" si="44"/>
        <v>0</v>
      </c>
      <c r="L754" s="100">
        <f t="shared" si="46"/>
        <v>-0.42486133646629831</v>
      </c>
      <c r="M754" s="68">
        <f t="shared" si="47"/>
        <v>10</v>
      </c>
    </row>
    <row r="755" spans="1:13">
      <c r="A755" s="100" t="str">
        <f>MID(Page012[[#This Row],[Column5]],SEARCH("(",Page012[[#This Row],[Column5]])+1,SEARCH(")",Page012[[#This Row],[Column5]])-SEARCH("(",Page012[[#This Row],[Column5]])-1)</f>
        <v>20.62</v>
      </c>
      <c r="B755" s="68" t="s">
        <v>518</v>
      </c>
      <c r="C755" s="68" t="s">
        <v>292</v>
      </c>
      <c r="D755" s="68" t="s">
        <v>292</v>
      </c>
      <c r="E755" s="68" t="s">
        <v>519</v>
      </c>
      <c r="F755" s="68" t="s">
        <v>421</v>
      </c>
      <c r="G755" s="68">
        <v>970</v>
      </c>
      <c r="H755" s="100" t="str">
        <f>MID(Page012[[#This Row],[Column4]],SEARCH("(",Page012[[#This Row],[Column4]])+1,SEARCH(")",Page012[[#This Row],[Column4]])-SEARCH("(",Page012[[#This Row],[Column4]])-1)</f>
        <v>1930</v>
      </c>
      <c r="I755" s="68">
        <v>1930</v>
      </c>
      <c r="J755" s="68">
        <f t="shared" si="45"/>
        <v>0</v>
      </c>
      <c r="K755" s="68">
        <f t="shared" si="44"/>
        <v>0</v>
      </c>
      <c r="L755" s="100">
        <f t="shared" si="46"/>
        <v>-0.42486133646629831</v>
      </c>
      <c r="M755" s="68">
        <f t="shared" si="47"/>
        <v>10</v>
      </c>
    </row>
    <row r="756" spans="1:13">
      <c r="A756" s="100" t="str">
        <f>MID(Page012[[#This Row],[Column5]],SEARCH("(",Page012[[#This Row],[Column5]])+1,SEARCH(")",Page012[[#This Row],[Column5]])-SEARCH("(",Page012[[#This Row],[Column5]])-1)</f>
        <v>22.23</v>
      </c>
      <c r="B756" s="68" t="s">
        <v>518</v>
      </c>
      <c r="C756" s="68" t="s">
        <v>292</v>
      </c>
      <c r="D756" s="68" t="s">
        <v>292</v>
      </c>
      <c r="E756" s="68" t="s">
        <v>519</v>
      </c>
      <c r="F756" s="68" t="s">
        <v>409</v>
      </c>
      <c r="G756" s="68">
        <v>1045</v>
      </c>
      <c r="H756" s="100" t="str">
        <f>MID(Page012[[#This Row],[Column4]],SEARCH("(",Page012[[#This Row],[Column4]])+1,SEARCH(")",Page012[[#This Row],[Column4]])-SEARCH("(",Page012[[#This Row],[Column4]])-1)</f>
        <v>1930</v>
      </c>
      <c r="I756" s="68">
        <v>1930</v>
      </c>
      <c r="J756" s="68">
        <f t="shared" si="45"/>
        <v>0</v>
      </c>
      <c r="K756" s="68">
        <f t="shared" si="44"/>
        <v>0</v>
      </c>
      <c r="L756" s="100">
        <f t="shared" si="46"/>
        <v>-0.42486133646629831</v>
      </c>
      <c r="M756" s="68">
        <f t="shared" si="47"/>
        <v>10</v>
      </c>
    </row>
    <row r="757" spans="1:13">
      <c r="A757" s="100" t="str">
        <f>MID(Page012[[#This Row],[Column5]],SEARCH("(",Page012[[#This Row],[Column5]])+1,SEARCH(")",Page012[[#This Row],[Column5]])-SEARCH("(",Page012[[#This Row],[Column5]])-1)</f>
        <v>23.83</v>
      </c>
      <c r="B757" s="68" t="s">
        <v>518</v>
      </c>
      <c r="C757" s="68" t="s">
        <v>292</v>
      </c>
      <c r="D757" s="68" t="s">
        <v>292</v>
      </c>
      <c r="E757" s="68" t="s">
        <v>519</v>
      </c>
      <c r="F757" s="68" t="s">
        <v>431</v>
      </c>
      <c r="G757" s="68">
        <v>1120</v>
      </c>
      <c r="H757" s="100" t="str">
        <f>MID(Page012[[#This Row],[Column4]],SEARCH("(",Page012[[#This Row],[Column4]])+1,SEARCH(")",Page012[[#This Row],[Column4]])-SEARCH("(",Page012[[#This Row],[Column4]])-1)</f>
        <v>1930</v>
      </c>
      <c r="I757" s="68">
        <v>1930</v>
      </c>
      <c r="J757" s="68">
        <f t="shared" si="45"/>
        <v>0</v>
      </c>
      <c r="K757" s="68">
        <f t="shared" si="44"/>
        <v>0</v>
      </c>
      <c r="L757" s="100">
        <f t="shared" si="46"/>
        <v>-0.42486133646629831</v>
      </c>
      <c r="M757" s="68">
        <f t="shared" si="47"/>
        <v>10</v>
      </c>
    </row>
    <row r="758" spans="1:13">
      <c r="A758" s="100" t="str">
        <f>MID(Page012[[#This Row],[Column5]],SEARCH("(",Page012[[#This Row],[Column5]])+1,SEARCH(")",Page012[[#This Row],[Column5]])-SEARCH("(",Page012[[#This Row],[Column5]])-1)</f>
        <v>25.40</v>
      </c>
      <c r="B758" s="68" t="s">
        <v>518</v>
      </c>
      <c r="C758" s="68" t="s">
        <v>292</v>
      </c>
      <c r="D758" s="68" t="s">
        <v>292</v>
      </c>
      <c r="E758" s="68" t="s">
        <v>519</v>
      </c>
      <c r="F758" s="68" t="s">
        <v>423</v>
      </c>
      <c r="G758" s="68">
        <v>1193</v>
      </c>
      <c r="H758" s="100" t="str">
        <f>MID(Page012[[#This Row],[Column4]],SEARCH("(",Page012[[#This Row],[Column4]])+1,SEARCH(")",Page012[[#This Row],[Column4]])-SEARCH("(",Page012[[#This Row],[Column4]])-1)</f>
        <v>1930</v>
      </c>
      <c r="I758" s="68">
        <v>1930</v>
      </c>
      <c r="J758" s="68">
        <f t="shared" si="45"/>
        <v>0</v>
      </c>
      <c r="K758" s="68">
        <f t="shared" si="44"/>
        <v>0</v>
      </c>
      <c r="L758" s="100">
        <f t="shared" si="46"/>
        <v>-0.42486133646629831</v>
      </c>
      <c r="M758" s="68">
        <f t="shared" si="47"/>
        <v>10</v>
      </c>
    </row>
    <row r="759" spans="1:13">
      <c r="A759" s="100" t="str">
        <f>MID(Page012[[#This Row],[Column5]],SEARCH("(",Page012[[#This Row],[Column5]])+1,SEARCH(")",Page012[[#This Row],[Column5]])-SEARCH("(",Page012[[#This Row],[Column5]])-1)</f>
        <v>26.97</v>
      </c>
      <c r="B759" s="68" t="s">
        <v>518</v>
      </c>
      <c r="C759" s="68" t="s">
        <v>292</v>
      </c>
      <c r="D759" s="68" t="s">
        <v>292</v>
      </c>
      <c r="E759" s="68" t="s">
        <v>519</v>
      </c>
      <c r="F759" s="68" t="s">
        <v>439</v>
      </c>
      <c r="G759" s="68">
        <v>1265</v>
      </c>
      <c r="H759" s="100" t="str">
        <f>MID(Page012[[#This Row],[Column4]],SEARCH("(",Page012[[#This Row],[Column4]])+1,SEARCH(")",Page012[[#This Row],[Column4]])-SEARCH("(",Page012[[#This Row],[Column4]])-1)</f>
        <v>1930</v>
      </c>
      <c r="I759" s="68">
        <v>1930</v>
      </c>
      <c r="J759" s="68">
        <f t="shared" si="45"/>
        <v>0</v>
      </c>
      <c r="K759" s="68">
        <f t="shared" si="44"/>
        <v>0</v>
      </c>
      <c r="L759" s="100">
        <f t="shared" si="46"/>
        <v>-0.42486133646629831</v>
      </c>
      <c r="M759" s="68">
        <f t="shared" si="47"/>
        <v>10</v>
      </c>
    </row>
    <row r="760" spans="1:13">
      <c r="A760" s="100" t="str">
        <f>MID(Page012[[#This Row],[Column5]],SEARCH("(",Page012[[#This Row],[Column5]])+1,SEARCH(")",Page012[[#This Row],[Column5]])-SEARCH("(",Page012[[#This Row],[Column5]])-1)</f>
        <v>28.58</v>
      </c>
      <c r="B760" s="68" t="s">
        <v>518</v>
      </c>
      <c r="C760" s="68" t="s">
        <v>292</v>
      </c>
      <c r="D760" s="68" t="s">
        <v>292</v>
      </c>
      <c r="E760" s="68" t="s">
        <v>519</v>
      </c>
      <c r="F760" s="68" t="s">
        <v>432</v>
      </c>
      <c r="G760" s="68">
        <v>1340</v>
      </c>
      <c r="H760" s="100" t="str">
        <f>MID(Page012[[#This Row],[Column4]],SEARCH("(",Page012[[#This Row],[Column4]])+1,SEARCH(")",Page012[[#This Row],[Column4]])-SEARCH("(",Page012[[#This Row],[Column4]])-1)</f>
        <v>1930</v>
      </c>
      <c r="I760" s="68">
        <v>1930</v>
      </c>
      <c r="J760" s="68">
        <f t="shared" si="45"/>
        <v>0</v>
      </c>
      <c r="K760" s="68">
        <f t="shared" si="44"/>
        <v>0</v>
      </c>
      <c r="L760" s="100">
        <f t="shared" si="46"/>
        <v>-0.42486133646629831</v>
      </c>
      <c r="M760" s="68">
        <f t="shared" si="47"/>
        <v>10</v>
      </c>
    </row>
    <row r="761" spans="1:13">
      <c r="A761" s="100" t="str">
        <f>MID(Page012[[#This Row],[Column5]],SEARCH("(",Page012[[#This Row],[Column5]])+1,SEARCH(")",Page012[[#This Row],[Column5]])-SEARCH("(",Page012[[#This Row],[Column5]])-1)</f>
        <v>30.18</v>
      </c>
      <c r="B761" s="68" t="s">
        <v>518</v>
      </c>
      <c r="C761" s="68" t="s">
        <v>292</v>
      </c>
      <c r="D761" s="68" t="s">
        <v>292</v>
      </c>
      <c r="E761" s="68" t="s">
        <v>519</v>
      </c>
      <c r="F761" s="68" t="s">
        <v>455</v>
      </c>
      <c r="G761" s="68">
        <v>1414</v>
      </c>
      <c r="H761" s="100" t="str">
        <f>MID(Page012[[#This Row],[Column4]],SEARCH("(",Page012[[#This Row],[Column4]])+1,SEARCH(")",Page012[[#This Row],[Column4]])-SEARCH("(",Page012[[#This Row],[Column4]])-1)</f>
        <v>1930</v>
      </c>
      <c r="I761" s="68">
        <v>1930</v>
      </c>
      <c r="J761" s="68">
        <f t="shared" si="45"/>
        <v>0</v>
      </c>
      <c r="K761" s="68">
        <f t="shared" si="44"/>
        <v>0</v>
      </c>
      <c r="L761" s="100">
        <f t="shared" si="46"/>
        <v>-0.42486133646629831</v>
      </c>
      <c r="M761" s="68">
        <f t="shared" si="47"/>
        <v>10</v>
      </c>
    </row>
    <row r="762" spans="1:13">
      <c r="A762" s="100" t="str">
        <f>MID(Page012[[#This Row],[Column5]],SEARCH("(",Page012[[#This Row],[Column5]])+1,SEARCH(")",Page012[[#This Row],[Column5]])-SEARCH("(",Page012[[#This Row],[Column5]])-1)</f>
        <v>31.75</v>
      </c>
      <c r="B762" s="68" t="s">
        <v>518</v>
      </c>
      <c r="C762" s="68" t="s">
        <v>292</v>
      </c>
      <c r="D762" s="68" t="s">
        <v>292</v>
      </c>
      <c r="E762" s="68" t="s">
        <v>519</v>
      </c>
      <c r="F762" s="68" t="s">
        <v>433</v>
      </c>
      <c r="G762" s="68">
        <v>1486</v>
      </c>
      <c r="H762" s="100" t="str">
        <f>MID(Page012[[#This Row],[Column4]],SEARCH("(",Page012[[#This Row],[Column4]])+1,SEARCH(")",Page012[[#This Row],[Column4]])-SEARCH("(",Page012[[#This Row],[Column4]])-1)</f>
        <v>1930</v>
      </c>
      <c r="I762" s="68">
        <v>1930</v>
      </c>
      <c r="J762" s="68">
        <f t="shared" si="45"/>
        <v>0</v>
      </c>
      <c r="K762" s="68">
        <f t="shared" si="44"/>
        <v>0</v>
      </c>
      <c r="L762" s="100">
        <f t="shared" si="46"/>
        <v>-0.42486133646629831</v>
      </c>
      <c r="M762" s="68">
        <f t="shared" si="47"/>
        <v>10</v>
      </c>
    </row>
    <row r="763" spans="1:13">
      <c r="A763" s="100" t="str">
        <f>MID(Page012[[#This Row],[Column5]],SEARCH("(",Page012[[#This Row],[Column5]])+1,SEARCH(")",Page012[[#This Row],[Column5]])-SEARCH("(",Page012[[#This Row],[Column5]])-1)</f>
        <v>14.27</v>
      </c>
      <c r="B763" s="68" t="s">
        <v>520</v>
      </c>
      <c r="C763" s="68" t="s">
        <v>292</v>
      </c>
      <c r="D763" s="68" t="s">
        <v>292</v>
      </c>
      <c r="E763" s="68" t="s">
        <v>521</v>
      </c>
      <c r="F763" s="68" t="s">
        <v>406</v>
      </c>
      <c r="G763" s="68">
        <v>710.08</v>
      </c>
      <c r="H763" s="100" t="str">
        <f>MID(Page012[[#This Row],[Column4]],SEARCH("(",Page012[[#This Row],[Column4]])+1,SEARCH(")",Page012[[#This Row],[Column4]])-SEARCH("(",Page012[[#This Row],[Column4]])-1)</f>
        <v>2032</v>
      </c>
      <c r="I763" s="68">
        <v>2032</v>
      </c>
      <c r="J763" s="68">
        <f t="shared" si="45"/>
        <v>0</v>
      </c>
      <c r="K763" s="68">
        <f t="shared" si="44"/>
        <v>0</v>
      </c>
      <c r="L763" s="100">
        <f t="shared" si="46"/>
        <v>-0.42486133646629831</v>
      </c>
      <c r="M763" s="68">
        <f t="shared" si="47"/>
        <v>10</v>
      </c>
    </row>
    <row r="764" spans="1:13">
      <c r="A764" s="100" t="str">
        <f>MID(Page012[[#This Row],[Column5]],SEARCH("(",Page012[[#This Row],[Column5]])+1,SEARCH(")",Page012[[#This Row],[Column5]])-SEARCH("(",Page012[[#This Row],[Column5]])-1)</f>
        <v>15.88</v>
      </c>
      <c r="B764" s="68" t="s">
        <v>520</v>
      </c>
      <c r="C764" s="68" t="s">
        <v>292</v>
      </c>
      <c r="D764" s="68" t="s">
        <v>292</v>
      </c>
      <c r="E764" s="68" t="s">
        <v>521</v>
      </c>
      <c r="F764" s="68" t="s">
        <v>400</v>
      </c>
      <c r="G764" s="68">
        <v>789</v>
      </c>
      <c r="H764" s="100" t="str">
        <f>MID(Page012[[#This Row],[Column4]],SEARCH("(",Page012[[#This Row],[Column4]])+1,SEARCH(")",Page012[[#This Row],[Column4]])-SEARCH("(",Page012[[#This Row],[Column4]])-1)</f>
        <v>2032</v>
      </c>
      <c r="I764" s="68">
        <v>2032</v>
      </c>
      <c r="J764" s="68">
        <f t="shared" si="45"/>
        <v>0</v>
      </c>
      <c r="K764" s="68">
        <f t="shared" si="44"/>
        <v>0</v>
      </c>
      <c r="L764" s="100">
        <f t="shared" si="46"/>
        <v>-0.42486133646629831</v>
      </c>
      <c r="M764" s="68">
        <f t="shared" si="47"/>
        <v>10</v>
      </c>
    </row>
    <row r="765" spans="1:13">
      <c r="A765" s="100" t="str">
        <f>MID(Page012[[#This Row],[Column5]],SEARCH("(",Page012[[#This Row],[Column5]])+1,SEARCH(")",Page012[[#This Row],[Column5]])-SEARCH("(",Page012[[#This Row],[Column5]])-1)</f>
        <v>17.48</v>
      </c>
      <c r="B765" s="68" t="s">
        <v>520</v>
      </c>
      <c r="C765" s="68" t="s">
        <v>292</v>
      </c>
      <c r="D765" s="68" t="s">
        <v>292</v>
      </c>
      <c r="E765" s="68" t="s">
        <v>521</v>
      </c>
      <c r="F765" s="68" t="s">
        <v>438</v>
      </c>
      <c r="G765" s="68">
        <v>868</v>
      </c>
      <c r="H765" s="100" t="str">
        <f>MID(Page012[[#This Row],[Column4]],SEARCH("(",Page012[[#This Row],[Column4]])+1,SEARCH(")",Page012[[#This Row],[Column4]])-SEARCH("(",Page012[[#This Row],[Column4]])-1)</f>
        <v>2032</v>
      </c>
      <c r="I765" s="68">
        <v>2032</v>
      </c>
      <c r="J765" s="68">
        <f t="shared" si="45"/>
        <v>0</v>
      </c>
      <c r="K765" s="68">
        <f t="shared" si="44"/>
        <v>0</v>
      </c>
      <c r="L765" s="100">
        <f t="shared" si="46"/>
        <v>-0.42486133646629831</v>
      </c>
      <c r="M765" s="68">
        <f t="shared" si="47"/>
        <v>10</v>
      </c>
    </row>
    <row r="766" spans="1:13">
      <c r="A766" s="100" t="str">
        <f>MID(Page012[[#This Row],[Column5]],SEARCH("(",Page012[[#This Row],[Column5]])+1,SEARCH(")",Page012[[#This Row],[Column5]])-SEARCH("(",Page012[[#This Row],[Column5]])-1)</f>
        <v>19.05</v>
      </c>
      <c r="B766" s="68" t="s">
        <v>520</v>
      </c>
      <c r="C766" s="68" t="s">
        <v>292</v>
      </c>
      <c r="D766" s="68" t="s">
        <v>292</v>
      </c>
      <c r="E766" s="68" t="s">
        <v>521</v>
      </c>
      <c r="F766" s="68" t="s">
        <v>401</v>
      </c>
      <c r="G766" s="68">
        <v>945</v>
      </c>
      <c r="H766" s="100" t="str">
        <f>MID(Page012[[#This Row],[Column4]],SEARCH("(",Page012[[#This Row],[Column4]])+1,SEARCH(")",Page012[[#This Row],[Column4]])-SEARCH("(",Page012[[#This Row],[Column4]])-1)</f>
        <v>2032</v>
      </c>
      <c r="I766" s="68">
        <v>2032</v>
      </c>
      <c r="J766" s="68">
        <f t="shared" si="45"/>
        <v>0</v>
      </c>
      <c r="K766" s="68">
        <f t="shared" si="44"/>
        <v>0</v>
      </c>
      <c r="L766" s="100">
        <f t="shared" si="46"/>
        <v>-0.42486133646629831</v>
      </c>
      <c r="M766" s="68">
        <f t="shared" si="47"/>
        <v>10</v>
      </c>
    </row>
    <row r="767" spans="1:13">
      <c r="A767" s="100" t="str">
        <f>MID(Page012[[#This Row],[Column5]],SEARCH("(",Page012[[#This Row],[Column5]])+1,SEARCH(")",Page012[[#This Row],[Column5]])-SEARCH("(",Page012[[#This Row],[Column5]])-1)</f>
        <v>20.62</v>
      </c>
      <c r="B767" s="68" t="s">
        <v>520</v>
      </c>
      <c r="C767" s="68" t="s">
        <v>292</v>
      </c>
      <c r="D767" s="68" t="s">
        <v>292</v>
      </c>
      <c r="E767" s="68" t="s">
        <v>521</v>
      </c>
      <c r="F767" s="68" t="s">
        <v>421</v>
      </c>
      <c r="G767" s="68">
        <v>1022</v>
      </c>
      <c r="H767" s="100" t="str">
        <f>MID(Page012[[#This Row],[Column4]],SEARCH("(",Page012[[#This Row],[Column4]])+1,SEARCH(")",Page012[[#This Row],[Column4]])-SEARCH("(",Page012[[#This Row],[Column4]])-1)</f>
        <v>2032</v>
      </c>
      <c r="I767" s="68">
        <v>2032</v>
      </c>
      <c r="J767" s="68">
        <f t="shared" si="45"/>
        <v>0</v>
      </c>
      <c r="K767" s="68">
        <f t="shared" si="44"/>
        <v>0</v>
      </c>
      <c r="L767" s="100">
        <f t="shared" si="46"/>
        <v>-0.42486133646629831</v>
      </c>
      <c r="M767" s="68">
        <f t="shared" si="47"/>
        <v>10</v>
      </c>
    </row>
    <row r="768" spans="1:13">
      <c r="A768" s="100" t="str">
        <f>MID(Page012[[#This Row],[Column5]],SEARCH("(",Page012[[#This Row],[Column5]])+1,SEARCH(")",Page012[[#This Row],[Column5]])-SEARCH("(",Page012[[#This Row],[Column5]])-1)</f>
        <v>22.23</v>
      </c>
      <c r="B768" s="68" t="s">
        <v>520</v>
      </c>
      <c r="C768" s="68" t="s">
        <v>292</v>
      </c>
      <c r="D768" s="68" t="s">
        <v>292</v>
      </c>
      <c r="E768" s="68" t="s">
        <v>521</v>
      </c>
      <c r="F768" s="68" t="s">
        <v>409</v>
      </c>
      <c r="G768" s="68">
        <v>1101</v>
      </c>
      <c r="H768" s="100" t="str">
        <f>MID(Page012[[#This Row],[Column4]],SEARCH("(",Page012[[#This Row],[Column4]])+1,SEARCH(")",Page012[[#This Row],[Column4]])-SEARCH("(",Page012[[#This Row],[Column4]])-1)</f>
        <v>2032</v>
      </c>
      <c r="I768" s="68">
        <v>2032</v>
      </c>
      <c r="J768" s="68">
        <f t="shared" si="45"/>
        <v>0</v>
      </c>
      <c r="K768" s="68">
        <f t="shared" si="44"/>
        <v>0</v>
      </c>
      <c r="L768" s="100">
        <f t="shared" si="46"/>
        <v>-0.42486133646629831</v>
      </c>
      <c r="M768" s="68">
        <f t="shared" si="47"/>
        <v>10</v>
      </c>
    </row>
    <row r="769" spans="1:13">
      <c r="A769" s="100" t="str">
        <f>MID(Page012[[#This Row],[Column5]],SEARCH("(",Page012[[#This Row],[Column5]])+1,SEARCH(")",Page012[[#This Row],[Column5]])-SEARCH("(",Page012[[#This Row],[Column5]])-1)</f>
        <v>23.83</v>
      </c>
      <c r="B769" s="68" t="s">
        <v>520</v>
      </c>
      <c r="C769" s="68" t="s">
        <v>292</v>
      </c>
      <c r="D769" s="68" t="s">
        <v>292</v>
      </c>
      <c r="E769" s="68" t="s">
        <v>521</v>
      </c>
      <c r="F769" s="68" t="s">
        <v>431</v>
      </c>
      <c r="G769" s="68">
        <v>1180</v>
      </c>
      <c r="H769" s="100" t="str">
        <f>MID(Page012[[#This Row],[Column4]],SEARCH("(",Page012[[#This Row],[Column4]])+1,SEARCH(")",Page012[[#This Row],[Column4]])-SEARCH("(",Page012[[#This Row],[Column4]])-1)</f>
        <v>2032</v>
      </c>
      <c r="I769" s="68">
        <v>2032</v>
      </c>
      <c r="J769" s="68">
        <f t="shared" si="45"/>
        <v>0</v>
      </c>
      <c r="K769" s="68">
        <f t="shared" si="44"/>
        <v>0</v>
      </c>
      <c r="L769" s="100">
        <f t="shared" si="46"/>
        <v>-0.42486133646629831</v>
      </c>
      <c r="M769" s="68">
        <f t="shared" si="47"/>
        <v>10</v>
      </c>
    </row>
    <row r="770" spans="1:13">
      <c r="A770" s="100" t="str">
        <f>MID(Page012[[#This Row],[Column5]],SEARCH("(",Page012[[#This Row],[Column5]])+1,SEARCH(")",Page012[[#This Row],[Column5]])-SEARCH("(",Page012[[#This Row],[Column5]])-1)</f>
        <v>25.40</v>
      </c>
      <c r="B770" s="68" t="s">
        <v>520</v>
      </c>
      <c r="C770" s="68" t="s">
        <v>292</v>
      </c>
      <c r="D770" s="68" t="s">
        <v>292</v>
      </c>
      <c r="E770" s="68" t="s">
        <v>521</v>
      </c>
      <c r="F770" s="68" t="s">
        <v>423</v>
      </c>
      <c r="G770" s="68">
        <v>1256</v>
      </c>
      <c r="H770" s="100" t="str">
        <f>MID(Page012[[#This Row],[Column4]],SEARCH("(",Page012[[#This Row],[Column4]])+1,SEARCH(")",Page012[[#This Row],[Column4]])-SEARCH("(",Page012[[#This Row],[Column4]])-1)</f>
        <v>2032</v>
      </c>
      <c r="I770" s="68">
        <v>2032</v>
      </c>
      <c r="J770" s="68">
        <f t="shared" si="45"/>
        <v>0</v>
      </c>
      <c r="K770" s="68">
        <f t="shared" ref="K770:K775" si="48">IF(IF(I770&gt;=$Q$3,I770,$Q$2+10)&lt;=$Q$2,A770,0)</f>
        <v>0</v>
      </c>
      <c r="L770" s="100">
        <f t="shared" si="46"/>
        <v>-0.42486133646629831</v>
      </c>
      <c r="M770" s="68">
        <f t="shared" si="47"/>
        <v>10</v>
      </c>
    </row>
    <row r="771" spans="1:13">
      <c r="A771" s="100" t="str">
        <f>MID(Page012[[#This Row],[Column5]],SEARCH("(",Page012[[#This Row],[Column5]])+1,SEARCH(")",Page012[[#This Row],[Column5]])-SEARCH("(",Page012[[#This Row],[Column5]])-1)</f>
        <v>26.97</v>
      </c>
      <c r="B771" s="68" t="s">
        <v>520</v>
      </c>
      <c r="C771" s="68" t="s">
        <v>292</v>
      </c>
      <c r="D771" s="68" t="s">
        <v>292</v>
      </c>
      <c r="E771" s="68" t="s">
        <v>521</v>
      </c>
      <c r="F771" s="68" t="s">
        <v>439</v>
      </c>
      <c r="G771" s="68">
        <v>1333</v>
      </c>
      <c r="H771" s="100" t="str">
        <f>MID(Page012[[#This Row],[Column4]],SEARCH("(",Page012[[#This Row],[Column4]])+1,SEARCH(")",Page012[[#This Row],[Column4]])-SEARCH("(",Page012[[#This Row],[Column4]])-1)</f>
        <v>2032</v>
      </c>
      <c r="I771" s="68">
        <v>2032</v>
      </c>
      <c r="J771" s="68">
        <f t="shared" ref="J771:J774" si="49">IF(IF(I771&gt;=$Q$3,I771,$Q$2+10)&lt;=$Q$2,I771,0)</f>
        <v>0</v>
      </c>
      <c r="K771" s="68">
        <f t="shared" si="48"/>
        <v>0</v>
      </c>
      <c r="L771" s="100">
        <f t="shared" ref="L771:L774" si="50">K771-$Q$1</f>
        <v>-0.42486133646629831</v>
      </c>
      <c r="M771" s="68">
        <f t="shared" si="47"/>
        <v>10</v>
      </c>
    </row>
    <row r="772" spans="1:13">
      <c r="A772" s="100" t="str">
        <f>MID(Page012[[#This Row],[Column5]],SEARCH("(",Page012[[#This Row],[Column5]])+1,SEARCH(")",Page012[[#This Row],[Column5]])-SEARCH("(",Page012[[#This Row],[Column5]])-1)</f>
        <v>28.58</v>
      </c>
      <c r="B772" s="68" t="s">
        <v>520</v>
      </c>
      <c r="C772" s="68" t="s">
        <v>292</v>
      </c>
      <c r="D772" s="68" t="s">
        <v>292</v>
      </c>
      <c r="E772" s="68" t="s">
        <v>521</v>
      </c>
      <c r="F772" s="68" t="s">
        <v>432</v>
      </c>
      <c r="G772" s="68">
        <v>1412</v>
      </c>
      <c r="H772" s="100" t="str">
        <f>MID(Page012[[#This Row],[Column4]],SEARCH("(",Page012[[#This Row],[Column4]])+1,SEARCH(")",Page012[[#This Row],[Column4]])-SEARCH("(",Page012[[#This Row],[Column4]])-1)</f>
        <v>2032</v>
      </c>
      <c r="I772" s="68">
        <v>2032</v>
      </c>
      <c r="J772" s="68">
        <f t="shared" si="49"/>
        <v>0</v>
      </c>
      <c r="K772" s="68">
        <f t="shared" si="48"/>
        <v>0</v>
      </c>
      <c r="L772" s="100">
        <f t="shared" si="50"/>
        <v>-0.42486133646629831</v>
      </c>
      <c r="M772" s="68">
        <f t="shared" ref="M772:M774" si="51">IF(L772&lt;0,10,L772)</f>
        <v>10</v>
      </c>
    </row>
    <row r="773" spans="1:13">
      <c r="A773" s="100" t="str">
        <f>MID(Page012[[#This Row],[Column5]],SEARCH("(",Page012[[#This Row],[Column5]])+1,SEARCH(")",Page012[[#This Row],[Column5]])-SEARCH("(",Page012[[#This Row],[Column5]])-1)</f>
        <v>30.18</v>
      </c>
      <c r="B773" s="68" t="s">
        <v>520</v>
      </c>
      <c r="C773" s="68" t="s">
        <v>292</v>
      </c>
      <c r="D773" s="68" t="s">
        <v>292</v>
      </c>
      <c r="E773" s="68" t="s">
        <v>521</v>
      </c>
      <c r="F773" s="68" t="s">
        <v>455</v>
      </c>
      <c r="G773" s="68">
        <v>1489</v>
      </c>
      <c r="H773" s="100" t="str">
        <f>MID(Page012[[#This Row],[Column4]],SEARCH("(",Page012[[#This Row],[Column4]])+1,SEARCH(")",Page012[[#This Row],[Column4]])-SEARCH("(",Page012[[#This Row],[Column4]])-1)</f>
        <v>2032</v>
      </c>
      <c r="I773" s="68">
        <v>2032</v>
      </c>
      <c r="J773" s="68">
        <f t="shared" si="49"/>
        <v>0</v>
      </c>
      <c r="K773" s="68">
        <f t="shared" si="48"/>
        <v>0</v>
      </c>
      <c r="L773" s="100">
        <f t="shared" si="50"/>
        <v>-0.42486133646629831</v>
      </c>
      <c r="M773" s="68">
        <f t="shared" si="51"/>
        <v>10</v>
      </c>
    </row>
    <row r="774" spans="1:13">
      <c r="A774" s="100" t="str">
        <f>MID(Page012[[#This Row],[Column5]],SEARCH("(",Page012[[#This Row],[Column5]])+1,SEARCH(")",Page012[[#This Row],[Column5]])-SEARCH("(",Page012[[#This Row],[Column5]])-1)</f>
        <v>31.75</v>
      </c>
      <c r="B774" s="68" t="s">
        <v>520</v>
      </c>
      <c r="C774" s="68" t="s">
        <v>292</v>
      </c>
      <c r="D774" s="68" t="s">
        <v>292</v>
      </c>
      <c r="E774" s="68" t="s">
        <v>521</v>
      </c>
      <c r="F774" s="68" t="s">
        <v>433</v>
      </c>
      <c r="G774" s="68">
        <v>1566</v>
      </c>
      <c r="H774" s="100" t="str">
        <f>MID(Page012[[#This Row],[Column4]],SEARCH("(",Page012[[#This Row],[Column4]])+1,SEARCH(")",Page012[[#This Row],[Column4]])-SEARCH("(",Page012[[#This Row],[Column4]])-1)</f>
        <v>2032</v>
      </c>
      <c r="I774" s="68">
        <v>2032</v>
      </c>
      <c r="J774" s="68">
        <f t="shared" si="49"/>
        <v>0</v>
      </c>
      <c r="K774" s="68">
        <f t="shared" si="48"/>
        <v>0</v>
      </c>
      <c r="L774" s="100">
        <f t="shared" si="50"/>
        <v>-0.42486133646629831</v>
      </c>
      <c r="M774" s="68">
        <f t="shared" si="51"/>
        <v>10</v>
      </c>
    </row>
    <row r="775" spans="1:13">
      <c r="H775" s="100" t="e">
        <f>MID(Page012[[#This Row],[Column4]],SEARCH("(",Page012[[#This Row],[Column4]])+1,SEARCH(")",Page012[[#This Row],[Column4]])-SEARCH("(",Page012[[#This Row],[Column4]])-1)</f>
        <v>#VALUE!</v>
      </c>
      <c r="K775" s="68">
        <f t="shared" si="48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U107"/>
  <sheetViews>
    <sheetView topLeftCell="A50" zoomScale="80" zoomScaleNormal="80" workbookViewId="0">
      <selection activeCell="E63" sqref="E63"/>
    </sheetView>
  </sheetViews>
  <sheetFormatPr defaultColWidth="8.85546875" defaultRowHeight="15"/>
  <cols>
    <col min="1" max="1" width="34.7109375" style="71" customWidth="1"/>
    <col min="2" max="2" width="26.140625" style="71" customWidth="1"/>
    <col min="3" max="3" width="20.7109375" style="71" customWidth="1"/>
    <col min="4" max="4" width="63.85546875" style="71" customWidth="1"/>
    <col min="5" max="5" width="30.42578125" style="71" customWidth="1"/>
    <col min="6" max="6" width="20.42578125" style="71" customWidth="1"/>
    <col min="7" max="7" width="33.42578125" style="71" customWidth="1"/>
    <col min="8" max="9" width="8.85546875" style="71"/>
    <col min="10" max="10" width="33.85546875" style="71" customWidth="1"/>
    <col min="11" max="11" width="18.7109375" style="71" customWidth="1"/>
    <col min="12" max="12" width="14.85546875" style="71" customWidth="1"/>
    <col min="13" max="16" width="8.85546875" style="71"/>
    <col min="17" max="17" width="28.140625" style="71" customWidth="1"/>
    <col min="18" max="18" width="20.7109375" style="71" customWidth="1"/>
    <col min="19" max="19" width="25.7109375" style="71" customWidth="1"/>
    <col min="20" max="20" width="26.7109375" style="71" customWidth="1"/>
    <col min="21" max="21" width="23.7109375" style="71" customWidth="1"/>
    <col min="22" max="22" width="18.140625" style="71" customWidth="1"/>
    <col min="23" max="16384" width="8.85546875" style="71"/>
  </cols>
  <sheetData>
    <row r="1" spans="1:21" ht="15.75" thickBot="1">
      <c r="A1" s="70" t="s">
        <v>191</v>
      </c>
      <c r="B1" s="70" t="s">
        <v>192</v>
      </c>
      <c r="D1" s="72" t="s">
        <v>193</v>
      </c>
      <c r="E1" s="72">
        <f>B4*B13</f>
        <v>27.438599999999997</v>
      </c>
    </row>
    <row r="2" spans="1:21" ht="15" customHeight="1">
      <c r="A2" s="70" t="s">
        <v>194</v>
      </c>
      <c r="B2" s="151" t="s">
        <v>226</v>
      </c>
      <c r="D2" s="72" t="s">
        <v>195</v>
      </c>
      <c r="E2" s="72">
        <f>E1/1000</f>
        <v>2.7438599999999997E-2</v>
      </c>
      <c r="J2" s="342" t="s">
        <v>196</v>
      </c>
      <c r="K2" s="343"/>
      <c r="L2" s="152"/>
      <c r="M2" s="153" t="s">
        <v>593</v>
      </c>
    </row>
    <row r="3" spans="1:21" ht="15" customHeight="1">
      <c r="A3" s="70" t="s">
        <v>197</v>
      </c>
      <c r="B3" s="70" t="s">
        <v>198</v>
      </c>
      <c r="D3" s="72" t="s">
        <v>199</v>
      </c>
      <c r="E3" s="72">
        <f>VLOOKUP(B2,$J$5:$K$7,2,0)</f>
        <v>1680</v>
      </c>
      <c r="F3" s="197"/>
      <c r="J3" s="344"/>
      <c r="K3" s="345"/>
      <c r="L3" s="152"/>
    </row>
    <row r="4" spans="1:21" ht="15.75" thickBot="1">
      <c r="A4" s="154" t="s">
        <v>606</v>
      </c>
      <c r="B4" s="73">
        <f>Linputt</f>
        <v>0.42</v>
      </c>
      <c r="D4" s="72" t="s">
        <v>200</v>
      </c>
      <c r="E4" s="195">
        <f>E3*E2</f>
        <v>46.096847999999994</v>
      </c>
      <c r="G4" s="74" t="s">
        <v>201</v>
      </c>
      <c r="J4" s="75" t="s">
        <v>202</v>
      </c>
      <c r="K4" s="76" t="s">
        <v>203</v>
      </c>
    </row>
    <row r="5" spans="1:21" ht="15.75" customHeight="1" thickBot="1">
      <c r="A5" s="70" t="s">
        <v>605</v>
      </c>
      <c r="B5" s="70">
        <f>frtbm</f>
        <v>30</v>
      </c>
      <c r="D5" s="77" t="s">
        <v>204</v>
      </c>
      <c r="E5" s="204">
        <v>20.149999999999999</v>
      </c>
      <c r="J5" s="155" t="s">
        <v>225</v>
      </c>
      <c r="K5" s="78">
        <v>1590</v>
      </c>
      <c r="P5" s="352" t="s">
        <v>533</v>
      </c>
      <c r="Q5" s="353"/>
      <c r="R5" s="353"/>
      <c r="S5" s="353"/>
      <c r="T5" s="353"/>
      <c r="U5" s="354"/>
    </row>
    <row r="6" spans="1:21" ht="15" customHeight="1">
      <c r="A6" s="70" t="s">
        <v>607</v>
      </c>
      <c r="B6" s="70">
        <f>maxxp</f>
        <v>3.92</v>
      </c>
      <c r="D6" s="77" t="s">
        <v>205</v>
      </c>
      <c r="E6" s="77">
        <v>25</v>
      </c>
      <c r="G6" s="108" t="s">
        <v>529</v>
      </c>
      <c r="J6" s="156" t="s">
        <v>226</v>
      </c>
      <c r="K6" s="78">
        <v>1680</v>
      </c>
      <c r="P6" s="355"/>
      <c r="Q6" s="348"/>
      <c r="R6" s="348"/>
      <c r="S6" s="348"/>
      <c r="T6" s="348"/>
      <c r="U6" s="349"/>
    </row>
    <row r="7" spans="1:21" ht="15.75" thickBot="1">
      <c r="A7" s="70" t="s">
        <v>609</v>
      </c>
      <c r="B7" s="70">
        <f>delpinputt</f>
        <v>2.92</v>
      </c>
      <c r="D7" s="77" t="s">
        <v>206</v>
      </c>
      <c r="E7" s="79">
        <v>3</v>
      </c>
      <c r="J7" s="157" t="s">
        <v>227</v>
      </c>
      <c r="K7" s="80">
        <v>1890</v>
      </c>
      <c r="P7" s="112"/>
      <c r="U7" s="113"/>
    </row>
    <row r="8" spans="1:21">
      <c r="A8" s="70" t="s">
        <v>608</v>
      </c>
      <c r="B8" s="70">
        <v>1</v>
      </c>
      <c r="D8" s="77" t="s">
        <v>207</v>
      </c>
      <c r="E8" s="77">
        <v>8</v>
      </c>
      <c r="G8" s="81" t="s">
        <v>208</v>
      </c>
      <c r="P8" s="112"/>
      <c r="Q8" s="346" t="s">
        <v>534</v>
      </c>
      <c r="R8" s="346"/>
      <c r="S8" s="346"/>
      <c r="T8" s="346"/>
      <c r="U8" s="347"/>
    </row>
    <row r="9" spans="1:21">
      <c r="A9" s="70" t="s">
        <v>610</v>
      </c>
      <c r="B9" s="70">
        <f>D56</f>
        <v>0</v>
      </c>
      <c r="D9" s="77" t="s">
        <v>209</v>
      </c>
      <c r="E9" s="158">
        <f>E5*E6*E7*E8</f>
        <v>12089.999999999998</v>
      </c>
      <c r="P9" s="112"/>
      <c r="Q9" s="346"/>
      <c r="R9" s="346"/>
      <c r="S9" s="346"/>
      <c r="T9" s="346"/>
      <c r="U9" s="347"/>
    </row>
    <row r="10" spans="1:21">
      <c r="A10" s="70" t="s">
        <v>210</v>
      </c>
      <c r="B10" s="70" t="str">
        <f>mctt</f>
        <v>4.78</v>
      </c>
      <c r="D10" s="198" t="s">
        <v>680</v>
      </c>
      <c r="E10" s="199">
        <f>B4/(E6*E7*E8)</f>
        <v>6.9999999999999999E-4</v>
      </c>
      <c r="F10" s="200" t="s">
        <v>681</v>
      </c>
      <c r="G10" s="161" t="s">
        <v>212</v>
      </c>
      <c r="P10" s="112"/>
      <c r="Q10" s="122" t="s">
        <v>535</v>
      </c>
      <c r="R10" s="122" t="s">
        <v>536</v>
      </c>
      <c r="S10" s="122" t="s">
        <v>543</v>
      </c>
      <c r="T10" s="122" t="s">
        <v>544</v>
      </c>
      <c r="U10" s="130" t="s">
        <v>545</v>
      </c>
    </row>
    <row r="11" spans="1:21" ht="15" customHeight="1">
      <c r="A11" s="70" t="s">
        <v>523</v>
      </c>
      <c r="B11" s="70">
        <f>mcdd</f>
        <v>559</v>
      </c>
      <c r="D11" s="200" t="s">
        <v>682</v>
      </c>
      <c r="E11" s="111">
        <f>T37+(E9*E10)</f>
        <v>14349399.177285712</v>
      </c>
      <c r="P11" s="112"/>
      <c r="Q11" s="123" t="s">
        <v>661</v>
      </c>
      <c r="R11" s="124">
        <v>1.47</v>
      </c>
      <c r="S11" s="125">
        <f>lclqgis</f>
        <v>0</v>
      </c>
      <c r="T11" s="126">
        <v>0.12</v>
      </c>
      <c r="U11" s="131">
        <f>R11*S11*T11</f>
        <v>0</v>
      </c>
    </row>
    <row r="12" spans="1:21" ht="15" customHeight="1">
      <c r="A12" s="70" t="s">
        <v>524</v>
      </c>
      <c r="B12" s="70">
        <f>mcdd+B10</f>
        <v>563.78</v>
      </c>
      <c r="D12" s="70" t="s">
        <v>211</v>
      </c>
      <c r="E12" s="160">
        <f>(E4+E9)*0.1</f>
        <v>1213.6096847999997</v>
      </c>
      <c r="G12" s="71" t="s">
        <v>215</v>
      </c>
      <c r="P12" s="112"/>
      <c r="Q12" s="123" t="s">
        <v>664</v>
      </c>
      <c r="R12" s="124">
        <v>1.39</v>
      </c>
      <c r="S12" s="125">
        <f>gclqgis</f>
        <v>0</v>
      </c>
      <c r="T12" s="126">
        <v>0.12</v>
      </c>
      <c r="U12" s="131">
        <f t="shared" ref="U12:U13" si="0">R12*S12*T12</f>
        <v>0</v>
      </c>
    </row>
    <row r="13" spans="1:21" ht="15.75" thickBot="1">
      <c r="A13" s="162" t="s">
        <v>216</v>
      </c>
      <c r="B13" s="163">
        <f>mcww</f>
        <v>65.33</v>
      </c>
      <c r="D13" s="82" t="s">
        <v>213</v>
      </c>
      <c r="E13" s="83">
        <v>4650</v>
      </c>
      <c r="G13" s="84" t="s">
        <v>217</v>
      </c>
      <c r="P13" s="112"/>
      <c r="Q13" s="123" t="s">
        <v>667</v>
      </c>
      <c r="R13" s="124">
        <v>1.23</v>
      </c>
      <c r="S13" s="125">
        <f>polqgis</f>
        <v>0</v>
      </c>
      <c r="T13" s="126">
        <v>0.12</v>
      </c>
      <c r="U13" s="132">
        <f t="shared" si="0"/>
        <v>0</v>
      </c>
    </row>
    <row r="14" spans="1:21" ht="15.75" thickBot="1">
      <c r="D14" s="82" t="s">
        <v>214</v>
      </c>
      <c r="E14" s="83">
        <f>E13*(B4/1000)</f>
        <v>1.9529999999999998</v>
      </c>
      <c r="P14" s="112"/>
      <c r="T14" s="194" t="s">
        <v>546</v>
      </c>
      <c r="U14" s="127">
        <f>SUM(U11:U13)</f>
        <v>0</v>
      </c>
    </row>
    <row r="15" spans="1:21">
      <c r="D15" s="201"/>
      <c r="E15" s="203"/>
      <c r="P15" s="112"/>
      <c r="U15" s="113"/>
    </row>
    <row r="16" spans="1:21" ht="15" customHeight="1">
      <c r="A16" s="85"/>
      <c r="B16" s="85"/>
      <c r="D16" s="208" t="s">
        <v>688</v>
      </c>
      <c r="E16" s="164">
        <f>E4+E11+E12</f>
        <v>14350658.883818513</v>
      </c>
      <c r="P16" s="112"/>
      <c r="Q16" s="348" t="s">
        <v>541</v>
      </c>
      <c r="R16" s="348"/>
      <c r="S16" s="348"/>
      <c r="T16" s="348"/>
      <c r="U16" s="349"/>
    </row>
    <row r="17" spans="1:21" ht="15" customHeight="1">
      <c r="P17" s="112"/>
      <c r="Q17" s="350"/>
      <c r="R17" s="350"/>
      <c r="S17" s="350"/>
      <c r="T17" s="350"/>
      <c r="U17" s="351"/>
    </row>
    <row r="18" spans="1:21">
      <c r="D18" s="86"/>
      <c r="E18" s="86"/>
      <c r="K18" s="155" t="s">
        <v>225</v>
      </c>
      <c r="L18" s="71">
        <f>K5</f>
        <v>1590</v>
      </c>
      <c r="P18" s="112"/>
      <c r="Q18" s="122" t="s">
        <v>540</v>
      </c>
      <c r="R18" s="122" t="s">
        <v>539</v>
      </c>
      <c r="S18" s="122" t="s">
        <v>536</v>
      </c>
      <c r="T18" s="122" t="s">
        <v>544</v>
      </c>
      <c r="U18" s="130" t="s">
        <v>545</v>
      </c>
    </row>
    <row r="19" spans="1:21">
      <c r="K19" s="156" t="s">
        <v>226</v>
      </c>
      <c r="L19" s="111">
        <f>K6</f>
        <v>1680</v>
      </c>
      <c r="P19" s="112"/>
      <c r="Q19" s="123" t="s">
        <v>542</v>
      </c>
      <c r="R19" s="125" t="str">
        <f>nccqgis</f>
        <v>1</v>
      </c>
      <c r="S19" s="124">
        <v>1.65</v>
      </c>
      <c r="T19" s="126">
        <f>$E$9/$B$4</f>
        <v>28785.714285714283</v>
      </c>
      <c r="U19" s="131">
        <f>R19*S19*T19</f>
        <v>47496.428571428565</v>
      </c>
    </row>
    <row r="20" spans="1:21" ht="15.75" thickBot="1">
      <c r="A20" s="111"/>
      <c r="B20" s="85"/>
      <c r="G20" s="87" t="s">
        <v>218</v>
      </c>
      <c r="K20" s="157" t="s">
        <v>227</v>
      </c>
      <c r="L20" s="71">
        <f>K7</f>
        <v>1890</v>
      </c>
      <c r="P20" s="112"/>
      <c r="Q20" s="123" t="s">
        <v>674</v>
      </c>
      <c r="R20" s="125" t="str">
        <f>nircqgis</f>
        <v>24</v>
      </c>
      <c r="S20" s="124">
        <v>1.79</v>
      </c>
      <c r="T20" s="126">
        <f>$E$9/$B$4</f>
        <v>28785.714285714283</v>
      </c>
      <c r="U20" s="131">
        <f>R20*S20*T20</f>
        <v>1236634.2857142857</v>
      </c>
    </row>
    <row r="21" spans="1:21" ht="15.75" thickBot="1">
      <c r="A21" s="111"/>
      <c r="P21" s="112"/>
      <c r="Q21" s="123" t="s">
        <v>675</v>
      </c>
      <c r="R21" s="125" t="str">
        <f>ntrcqgis</f>
        <v>1</v>
      </c>
      <c r="S21" s="124">
        <v>1.93</v>
      </c>
      <c r="T21" s="126">
        <f>$E$9/$B$4</f>
        <v>28785.714285714283</v>
      </c>
      <c r="U21" s="132">
        <f>R21*S21*T21</f>
        <v>55556.428571428565</v>
      </c>
    </row>
    <row r="22" spans="1:21" ht="15.75" thickBot="1">
      <c r="A22" s="111"/>
      <c r="P22" s="112"/>
      <c r="Q22" s="124"/>
      <c r="R22" s="124"/>
      <c r="S22" s="124"/>
      <c r="T22" s="128" t="s">
        <v>546</v>
      </c>
      <c r="U22" s="127">
        <f>SUM(U19:U21)</f>
        <v>1339687.142857143</v>
      </c>
    </row>
    <row r="23" spans="1:21">
      <c r="D23" s="201"/>
      <c r="E23" s="196"/>
      <c r="P23" s="112"/>
      <c r="U23" s="113"/>
    </row>
    <row r="24" spans="1:21" ht="15" customHeight="1">
      <c r="E24" s="111"/>
      <c r="P24" s="112"/>
      <c r="Q24" s="348" t="s">
        <v>537</v>
      </c>
      <c r="R24" s="348"/>
      <c r="S24" s="348"/>
      <c r="T24" s="348"/>
      <c r="U24" s="349"/>
    </row>
    <row r="25" spans="1:21" ht="15" customHeight="1">
      <c r="A25" s="205">
        <f>E4</f>
        <v>46.096847999999994</v>
      </c>
      <c r="E25" s="111"/>
      <c r="P25" s="112"/>
      <c r="Q25" s="350"/>
      <c r="R25" s="350"/>
      <c r="S25" s="350"/>
      <c r="T25" s="350"/>
      <c r="U25" s="351"/>
    </row>
    <row r="26" spans="1:21">
      <c r="A26" s="206">
        <f>E11</f>
        <v>14349399.177285712</v>
      </c>
      <c r="E26" s="196"/>
      <c r="P26" s="112"/>
      <c r="Q26" s="122" t="s">
        <v>538</v>
      </c>
      <c r="R26" s="122" t="s">
        <v>539</v>
      </c>
      <c r="S26" s="122" t="s">
        <v>536</v>
      </c>
      <c r="T26" s="122" t="s">
        <v>544</v>
      </c>
      <c r="U26" s="130" t="s">
        <v>545</v>
      </c>
    </row>
    <row r="27" spans="1:21">
      <c r="A27" s="207">
        <f>E12</f>
        <v>1213.6096847999997</v>
      </c>
      <c r="E27" s="196"/>
      <c r="P27" s="112"/>
      <c r="Q27" s="123" t="s">
        <v>676</v>
      </c>
      <c r="R27" s="125">
        <f>arcgis</f>
        <v>35</v>
      </c>
      <c r="S27" s="124">
        <v>1.45</v>
      </c>
      <c r="T27" s="126">
        <f t="shared" ref="T27:T33" si="1">$E$9/$B$4</f>
        <v>28785.714285714283</v>
      </c>
      <c r="U27" s="131">
        <f>R27*S27*T27</f>
        <v>1460874.9999999998</v>
      </c>
    </row>
    <row r="28" spans="1:21">
      <c r="K28" s="71">
        <f>1.68*1000</f>
        <v>1680</v>
      </c>
      <c r="P28" s="112"/>
      <c r="Q28" s="123" t="s">
        <v>677</v>
      </c>
      <c r="R28" s="125">
        <f>brcgis</f>
        <v>9</v>
      </c>
      <c r="S28" s="124">
        <v>1.37</v>
      </c>
      <c r="T28" s="126">
        <f t="shared" si="1"/>
        <v>28785.714285714283</v>
      </c>
      <c r="U28" s="131">
        <f>R28*S28*T28</f>
        <v>354927.85714285716</v>
      </c>
    </row>
    <row r="29" spans="1:21" ht="15" customHeight="1">
      <c r="P29" s="112"/>
      <c r="Q29" s="123" t="s">
        <v>668</v>
      </c>
      <c r="R29" s="125">
        <f>cunngis</f>
        <v>17</v>
      </c>
      <c r="S29" s="124">
        <v>1.21</v>
      </c>
      <c r="T29" s="126">
        <f t="shared" si="1"/>
        <v>28785.714285714283</v>
      </c>
      <c r="U29" s="131">
        <f t="shared" ref="U29:U32" si="2">R29*S29*T29</f>
        <v>592122.14285714284</v>
      </c>
    </row>
    <row r="30" spans="1:21" ht="15" customHeight="1">
      <c r="P30" s="112"/>
      <c r="Q30" s="123" t="s">
        <v>670</v>
      </c>
      <c r="R30" s="125">
        <f>mcgis</f>
        <v>1</v>
      </c>
      <c r="S30" s="124">
        <v>1.4</v>
      </c>
      <c r="T30" s="126">
        <f t="shared" si="1"/>
        <v>28785.714285714283</v>
      </c>
      <c r="U30" s="131">
        <f t="shared" si="2"/>
        <v>40299.999999999993</v>
      </c>
    </row>
    <row r="31" spans="1:21">
      <c r="P31" s="112"/>
      <c r="Q31" s="123" t="s">
        <v>678</v>
      </c>
      <c r="R31" s="125">
        <f>ncrcgis</f>
        <v>50</v>
      </c>
      <c r="S31" s="124">
        <v>1.2</v>
      </c>
      <c r="T31" s="126">
        <f t="shared" si="1"/>
        <v>28785.714285714283</v>
      </c>
      <c r="U31" s="131">
        <f t="shared" si="2"/>
        <v>1727142.857142857</v>
      </c>
    </row>
    <row r="32" spans="1:21">
      <c r="P32" s="112"/>
      <c r="Q32" s="123" t="s">
        <v>679</v>
      </c>
      <c r="R32" s="125">
        <f>uncgis</f>
        <v>204</v>
      </c>
      <c r="S32" s="124">
        <v>1.2</v>
      </c>
      <c r="T32" s="126">
        <f t="shared" si="1"/>
        <v>28785.714285714283</v>
      </c>
      <c r="U32" s="131">
        <f t="shared" si="2"/>
        <v>7046742.8571428563</v>
      </c>
    </row>
    <row r="33" spans="1:21" ht="23.25" thickBot="1">
      <c r="C33" s="165"/>
      <c r="D33" s="166" t="s">
        <v>594</v>
      </c>
      <c r="E33" s="165"/>
      <c r="P33" s="112"/>
      <c r="Q33" s="123" t="s">
        <v>673</v>
      </c>
      <c r="R33" s="125">
        <f>unkgis</f>
        <v>54</v>
      </c>
      <c r="S33" s="124">
        <v>1.1499999999999999</v>
      </c>
      <c r="T33" s="126">
        <f t="shared" si="1"/>
        <v>28785.714285714283</v>
      </c>
      <c r="U33" s="132">
        <f>R33*S33*T33</f>
        <v>1787592.8571428568</v>
      </c>
    </row>
    <row r="34" spans="1:21" ht="15.75" thickBot="1">
      <c r="C34" s="165"/>
      <c r="D34" s="165"/>
      <c r="E34" s="165"/>
      <c r="P34" s="112"/>
      <c r="T34" s="194" t="s">
        <v>546</v>
      </c>
      <c r="U34" s="127">
        <f>SUM(U27:U33)</f>
        <v>13009703.571428569</v>
      </c>
    </row>
    <row r="35" spans="1:21">
      <c r="A35" s="71" t="s">
        <v>595</v>
      </c>
      <c r="C35" s="165"/>
      <c r="D35" s="167" t="s">
        <v>611</v>
      </c>
      <c r="E35" s="165"/>
      <c r="P35" s="112"/>
      <c r="U35" s="113"/>
    </row>
    <row r="36" spans="1:21" ht="15.75" thickBot="1">
      <c r="A36" s="71" t="s">
        <v>596</v>
      </c>
      <c r="C36" s="165"/>
      <c r="D36" s="167" t="s">
        <v>597</v>
      </c>
      <c r="E36" s="165"/>
      <c r="P36" s="112"/>
      <c r="U36" s="113"/>
    </row>
    <row r="37" spans="1:21" ht="15.75" thickBot="1">
      <c r="A37" s="71">
        <f>B5*15850.323140625</f>
        <v>475509.69421875</v>
      </c>
      <c r="C37" s="165"/>
      <c r="D37" s="165"/>
      <c r="E37" s="165"/>
      <c r="P37" s="114"/>
      <c r="Q37" s="115"/>
      <c r="R37" s="115"/>
      <c r="S37" s="116" t="s">
        <v>547</v>
      </c>
      <c r="T37" s="129">
        <f>SUM(U14,U22,U34)</f>
        <v>14349390.714285713</v>
      </c>
      <c r="U37" s="117"/>
    </row>
    <row r="38" spans="1:21">
      <c r="C38" s="165"/>
      <c r="D38" s="165"/>
      <c r="E38" s="168" t="s">
        <v>177</v>
      </c>
    </row>
    <row r="39" spans="1:21">
      <c r="A39" s="71" t="s">
        <v>598</v>
      </c>
      <c r="C39" s="165"/>
      <c r="D39" s="169">
        <f>A40</f>
        <v>2.1172530497570667</v>
      </c>
      <c r="E39" s="165"/>
      <c r="T39" s="111"/>
    </row>
    <row r="40" spans="1:21">
      <c r="A40" s="170">
        <f>('[1]Oil Calculations'!D30 * 3.28)/1000</f>
        <v>2.1172530497570667</v>
      </c>
      <c r="C40" s="165"/>
      <c r="D40" s="165">
        <f>A37</f>
        <v>475509.69421875</v>
      </c>
      <c r="E40" s="165" t="s">
        <v>599</v>
      </c>
    </row>
    <row r="41" spans="1:21" ht="15.75">
      <c r="A41" s="171"/>
      <c r="C41" s="165"/>
      <c r="D41" s="172">
        <v>35.97</v>
      </c>
      <c r="E41" s="165" t="s">
        <v>600</v>
      </c>
    </row>
    <row r="42" spans="1:21">
      <c r="C42" s="165"/>
      <c r="D42" s="165">
        <v>0.7</v>
      </c>
      <c r="E42" s="165" t="s">
        <v>601</v>
      </c>
    </row>
    <row r="43" spans="1:21">
      <c r="C43" s="165"/>
      <c r="D43" s="165"/>
      <c r="E43" s="165"/>
      <c r="S43" s="159" t="s">
        <v>534</v>
      </c>
      <c r="T43" s="111">
        <f>U14</f>
        <v>0</v>
      </c>
    </row>
    <row r="44" spans="1:21">
      <c r="C44" s="165"/>
      <c r="D44" s="172">
        <f>1.65*(D39)*(D40)*(D41/D42)</f>
        <v>85360801.537027359</v>
      </c>
      <c r="E44" s="165"/>
      <c r="S44" s="159" t="s">
        <v>541</v>
      </c>
      <c r="T44" s="111">
        <f>U22</f>
        <v>1339687.142857143</v>
      </c>
    </row>
    <row r="45" spans="1:21">
      <c r="C45" s="165"/>
      <c r="D45" s="165"/>
      <c r="E45" s="165"/>
      <c r="S45" s="159" t="s">
        <v>537</v>
      </c>
      <c r="T45" s="111">
        <f>U34</f>
        <v>13009703.571428569</v>
      </c>
    </row>
    <row r="46" spans="1:21">
      <c r="C46" s="165"/>
      <c r="D46" s="165"/>
      <c r="E46" s="165"/>
    </row>
    <row r="47" spans="1:21">
      <c r="C47" s="165"/>
      <c r="D47" s="82" t="s">
        <v>213</v>
      </c>
      <c r="E47" s="83">
        <v>4650</v>
      </c>
    </row>
    <row r="48" spans="1:21">
      <c r="C48" s="165"/>
      <c r="D48" s="82" t="str">
        <f>D14</f>
        <v>Total Maintence Cost in USD</v>
      </c>
      <c r="E48" s="83">
        <f>E13*(B4/1000)</f>
        <v>1.9529999999999998</v>
      </c>
    </row>
    <row r="49" spans="1:5">
      <c r="C49" s="165"/>
      <c r="D49" s="165"/>
      <c r="E49" s="165"/>
    </row>
    <row r="51" spans="1:5">
      <c r="D51" s="165" t="s">
        <v>602</v>
      </c>
      <c r="E51" s="173">
        <f>D44+E48</f>
        <v>85360803.490027353</v>
      </c>
    </row>
    <row r="52" spans="1:5">
      <c r="D52" s="200" t="s">
        <v>683</v>
      </c>
      <c r="E52" s="173">
        <f>E51*25</f>
        <v>2134020087.2506838</v>
      </c>
    </row>
    <row r="53" spans="1:5">
      <c r="D53" s="210" t="s">
        <v>689</v>
      </c>
      <c r="E53" s="173">
        <f>tpcost+E51</f>
        <v>99711462.37384586</v>
      </c>
    </row>
    <row r="54" spans="1:5" ht="34.5">
      <c r="D54" s="209"/>
    </row>
    <row r="59" spans="1:5">
      <c r="D59" s="172"/>
    </row>
    <row r="60" spans="1:5">
      <c r="D60" s="165"/>
    </row>
    <row r="61" spans="1:5">
      <c r="A61" s="71" t="s">
        <v>603</v>
      </c>
    </row>
    <row r="62" spans="1:5">
      <c r="A62" s="71">
        <f>'[1]Gas Flow Calculations'!D13*(1/5.450993)</f>
        <v>475509.6915369365</v>
      </c>
      <c r="D62" s="173"/>
    </row>
    <row r="66" spans="1:5">
      <c r="A66" s="174" t="s">
        <v>604</v>
      </c>
    </row>
    <row r="67" spans="1:5">
      <c r="A67" s="71">
        <f>(A62)*(1/(2.448)*('[1]Gas Flow Calculations'!I71)^2)</f>
        <v>2388874.4884326532</v>
      </c>
    </row>
    <row r="68" spans="1:5">
      <c r="D68" s="165"/>
      <c r="E68" s="173"/>
    </row>
    <row r="73" spans="1:5">
      <c r="C73" s="200"/>
    </row>
    <row r="75" spans="1:5">
      <c r="D75" s="200" t="s">
        <v>684</v>
      </c>
    </row>
    <row r="80" spans="1:5" ht="20.25">
      <c r="B80" s="340" t="s">
        <v>625</v>
      </c>
      <c r="C80" s="340"/>
      <c r="D80"/>
    </row>
    <row r="81" spans="2:4">
      <c r="B81"/>
      <c r="C81"/>
      <c r="D81"/>
    </row>
    <row r="82" spans="2:4" ht="15.75">
      <c r="B82" s="180" t="s">
        <v>626</v>
      </c>
      <c r="C82" s="180" t="s">
        <v>627</v>
      </c>
      <c r="D82" s="180"/>
    </row>
    <row r="83" spans="2:4">
      <c r="B83" s="145" t="s">
        <v>628</v>
      </c>
      <c r="C83" s="145" t="s">
        <v>629</v>
      </c>
      <c r="D83" s="145"/>
    </row>
    <row r="84" spans="2:4">
      <c r="B84" s="181">
        <f>tpcostt</f>
        <v>14350658.883818513</v>
      </c>
      <c r="C84" s="182"/>
      <c r="D84"/>
    </row>
    <row r="85" spans="2:4">
      <c r="B85"/>
      <c r="C85"/>
      <c r="D85"/>
    </row>
    <row r="86" spans="2:4">
      <c r="B86" s="341" t="s">
        <v>630</v>
      </c>
      <c r="C86" s="341"/>
      <c r="D86"/>
    </row>
    <row r="87" spans="2:4">
      <c r="B87" s="341"/>
      <c r="C87" s="341"/>
      <c r="D87"/>
    </row>
    <row r="88" spans="2:4">
      <c r="B88"/>
      <c r="C88"/>
      <c r="D88"/>
    </row>
    <row r="89" spans="2:4">
      <c r="B89" s="68"/>
      <c r="C89" s="183"/>
      <c r="D89"/>
    </row>
    <row r="90" spans="2:4">
      <c r="B90" s="184" t="s">
        <v>631</v>
      </c>
      <c r="C90" s="183">
        <f>C84</f>
        <v>0</v>
      </c>
      <c r="D90"/>
    </row>
    <row r="91" spans="2:4">
      <c r="B91" s="184" t="s">
        <v>628</v>
      </c>
      <c r="C91" s="183">
        <f>B84</f>
        <v>14350658.883818513</v>
      </c>
      <c r="D91"/>
    </row>
    <row r="105" spans="1:4">
      <c r="A105" s="200" t="s">
        <v>686</v>
      </c>
      <c r="D105" s="202" t="s">
        <v>685</v>
      </c>
    </row>
    <row r="106" spans="1:4">
      <c r="A106" s="71">
        <f>B4/1000</f>
        <v>4.1999999999999996E-4</v>
      </c>
      <c r="B106" s="200" t="s">
        <v>687</v>
      </c>
    </row>
    <row r="107" spans="1:4">
      <c r="D107" s="173">
        <f>tpcost/A106</f>
        <v>34168235437.663128</v>
      </c>
    </row>
  </sheetData>
  <mergeCells count="7">
    <mergeCell ref="B80:C80"/>
    <mergeCell ref="B86:C87"/>
    <mergeCell ref="J2:K3"/>
    <mergeCell ref="Q8:U9"/>
    <mergeCell ref="Q16:U17"/>
    <mergeCell ref="Q24:U25"/>
    <mergeCell ref="P5:U6"/>
  </mergeCells>
  <dataValidations count="1">
    <dataValidation type="list" allowBlank="1" showInputMessage="1" showErrorMessage="1" sqref="B2" xr:uid="{00000000-0002-0000-0700-000000000000}">
      <formula1>$J$5:$J$7</formula1>
    </dataValidation>
  </dataValidations>
  <pageMargins left="0.75" right="0.75" top="1" bottom="1" header="0.5" footer="0.5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F2:R41"/>
  <sheetViews>
    <sheetView topLeftCell="K3" zoomScale="80" zoomScaleNormal="80" workbookViewId="0">
      <selection activeCell="O28" sqref="O28:P28"/>
    </sheetView>
  </sheetViews>
  <sheetFormatPr defaultRowHeight="15" customHeight="1"/>
  <cols>
    <col min="2" max="2" width="22.7109375" customWidth="1"/>
    <col min="3" max="3" width="27" customWidth="1"/>
    <col min="4" max="4" width="19.85546875" customWidth="1"/>
    <col min="5" max="5" width="18.140625" customWidth="1"/>
    <col min="15" max="17" width="30.140625" customWidth="1"/>
    <col min="18" max="18" width="21.28515625" customWidth="1"/>
  </cols>
  <sheetData>
    <row r="2" spans="6:18" ht="15.75" customHeight="1"/>
    <row r="3" spans="6:18" ht="28.5" customHeight="1">
      <c r="F3" s="139"/>
      <c r="G3" s="139"/>
      <c r="H3" s="139"/>
      <c r="O3" s="356" t="s">
        <v>566</v>
      </c>
      <c r="P3" s="356"/>
      <c r="Q3" s="356"/>
      <c r="R3" s="356"/>
    </row>
    <row r="4" spans="6:18" ht="15" customHeight="1">
      <c r="F4" s="139"/>
      <c r="G4" s="139"/>
      <c r="H4" s="139"/>
      <c r="O4" s="142"/>
      <c r="P4" s="142"/>
      <c r="Q4" s="142"/>
      <c r="R4" s="142"/>
    </row>
    <row r="5" spans="6:18" ht="18.75" customHeight="1">
      <c r="O5" s="147" t="s">
        <v>567</v>
      </c>
      <c r="P5" s="140" t="s">
        <v>570</v>
      </c>
      <c r="Q5" s="147" t="s">
        <v>572</v>
      </c>
      <c r="R5" s="140" t="s">
        <v>575</v>
      </c>
    </row>
    <row r="6" spans="6:18" ht="18.75" customHeight="1">
      <c r="O6" s="147" t="s">
        <v>569</v>
      </c>
      <c r="P6" s="140" t="s">
        <v>571</v>
      </c>
      <c r="Q6" s="147" t="s">
        <v>573</v>
      </c>
      <c r="R6" s="140" t="s">
        <v>576</v>
      </c>
    </row>
    <row r="7" spans="6:18" ht="18.75" customHeight="1">
      <c r="O7" s="147" t="s">
        <v>568</v>
      </c>
      <c r="P7" s="140" t="s">
        <v>579</v>
      </c>
      <c r="Q7" s="147" t="s">
        <v>574</v>
      </c>
      <c r="R7" s="141">
        <f ca="1">TODAY()</f>
        <v>45363</v>
      </c>
    </row>
    <row r="8" spans="6:18" ht="10.5" customHeight="1">
      <c r="O8" s="340"/>
      <c r="P8" s="340"/>
    </row>
    <row r="9" spans="6:18" ht="24" customHeight="1">
      <c r="O9" s="340" t="s">
        <v>582</v>
      </c>
      <c r="P9" s="340"/>
    </row>
    <row r="10" spans="6:18" ht="16.5" customHeight="1">
      <c r="O10" s="146"/>
      <c r="P10" s="146"/>
      <c r="R10" s="149"/>
    </row>
    <row r="11" spans="6:18" ht="18.75" customHeight="1">
      <c r="O11" s="148" t="s">
        <v>580</v>
      </c>
      <c r="P11" s="148">
        <f>Linput</f>
        <v>0.42</v>
      </c>
      <c r="Q11" s="148" t="s">
        <v>577</v>
      </c>
      <c r="R11" s="145"/>
    </row>
    <row r="12" spans="6:18" ht="18.75" customHeight="1">
      <c r="O12" s="148" t="s">
        <v>172</v>
      </c>
      <c r="P12" s="148">
        <f>frtbm</f>
        <v>30</v>
      </c>
      <c r="Q12" s="148" t="s">
        <v>578</v>
      </c>
      <c r="R12" s="145"/>
    </row>
    <row r="13" spans="6:18" ht="18.75" customHeight="1">
      <c r="O13" s="148" t="s">
        <v>581</v>
      </c>
      <c r="P13" s="148">
        <f>delpinput</f>
        <v>2.92</v>
      </c>
      <c r="Q13" s="148" t="s">
        <v>17</v>
      </c>
      <c r="R13" s="145"/>
    </row>
    <row r="14" spans="6:18" ht="18.75" customHeight="1">
      <c r="O14" s="148" t="s">
        <v>188</v>
      </c>
      <c r="P14" s="148" t="str">
        <f>fluidtypin</f>
        <v>Gas</v>
      </c>
      <c r="Q14" s="148" t="s">
        <v>7</v>
      </c>
      <c r="R14" s="145"/>
    </row>
    <row r="15" spans="6:18" ht="18.75" customHeight="1">
      <c r="O15" s="148" t="s">
        <v>191</v>
      </c>
      <c r="P15" s="148" t="s">
        <v>192</v>
      </c>
      <c r="Q15" s="148" t="s">
        <v>7</v>
      </c>
      <c r="R15" s="145"/>
    </row>
    <row r="16" spans="6:18" ht="18.75" customHeight="1">
      <c r="O16" s="148" t="s">
        <v>194</v>
      </c>
      <c r="P16" s="148" t="str">
        <f>pgin</f>
        <v>API 5L Grade X52</v>
      </c>
      <c r="Q16" s="148" t="s">
        <v>7</v>
      </c>
      <c r="R16" s="145"/>
    </row>
    <row r="17" spans="15:18" ht="15" customHeight="1">
      <c r="O17" s="143"/>
      <c r="P17" s="144"/>
      <c r="Q17" s="144"/>
    </row>
    <row r="18" spans="15:18" ht="24" customHeight="1">
      <c r="O18" s="340" t="s">
        <v>582</v>
      </c>
      <c r="P18" s="340"/>
    </row>
    <row r="19" spans="15:18" ht="15" customHeight="1">
      <c r="O19" s="143"/>
      <c r="P19" s="144"/>
      <c r="Q19" s="144"/>
    </row>
    <row r="20" spans="15:18" ht="18.75" customHeight="1">
      <c r="O20" s="148" t="s">
        <v>583</v>
      </c>
      <c r="P20" s="150">
        <f>rdia</f>
        <v>21.709825545800854</v>
      </c>
      <c r="Q20" s="148" t="s">
        <v>584</v>
      </c>
      <c r="R20" s="145"/>
    </row>
    <row r="21" spans="15:18" ht="18.75" customHeight="1">
      <c r="O21" s="148" t="s">
        <v>237</v>
      </c>
      <c r="P21" s="150">
        <f>sdia/25.4</f>
        <v>22.007874015748033</v>
      </c>
      <c r="Q21" s="148" t="s">
        <v>584</v>
      </c>
      <c r="R21" s="145"/>
    </row>
    <row r="22" spans="15:18" ht="18.75" customHeight="1">
      <c r="O22" s="148" t="s">
        <v>240</v>
      </c>
      <c r="P22" s="148" t="str">
        <f>sdn</f>
        <v>22(550)</v>
      </c>
      <c r="Q22" s="148" t="s">
        <v>7</v>
      </c>
      <c r="R22" s="145"/>
    </row>
    <row r="23" spans="15:18" ht="18.75" customHeight="1">
      <c r="O23" s="148" t="s">
        <v>586</v>
      </c>
      <c r="P23" s="148">
        <f>fmopout</f>
        <v>1.0000000074397142</v>
      </c>
      <c r="Q23" s="148" t="s">
        <v>17</v>
      </c>
      <c r="R23" s="145"/>
    </row>
    <row r="24" spans="15:18" ht="18.75" customHeight="1">
      <c r="O24" s="148" t="s">
        <v>530</v>
      </c>
      <c r="P24" s="150">
        <f>ct</f>
        <v>0.42486133646629831</v>
      </c>
      <c r="Q24" s="148" t="s">
        <v>99</v>
      </c>
      <c r="R24" s="145"/>
    </row>
    <row r="25" spans="15:18" ht="18.75" customHeight="1">
      <c r="O25" s="148" t="s">
        <v>585</v>
      </c>
      <c r="P25" s="148" t="str">
        <f>upt</f>
        <v>4.78</v>
      </c>
      <c r="Q25" s="148" t="s">
        <v>99</v>
      </c>
      <c r="R25" s="145"/>
    </row>
    <row r="26" spans="15:18" ht="18.75" customHeight="1">
      <c r="O26" s="148" t="s">
        <v>217</v>
      </c>
      <c r="P26" s="175">
        <f>tpcostt</f>
        <v>14350658.883818513</v>
      </c>
      <c r="Q26" s="148" t="s">
        <v>587</v>
      </c>
      <c r="R26" s="145"/>
    </row>
    <row r="28" spans="15:18" ht="24" customHeight="1">
      <c r="O28" s="357"/>
      <c r="P28" s="357"/>
    </row>
    <row r="30" spans="15:18" ht="25.5" customHeight="1">
      <c r="O30" s="340"/>
      <c r="P30" s="340"/>
    </row>
    <row r="32" spans="15:18" ht="21" customHeight="1">
      <c r="O32" s="180"/>
      <c r="P32" s="180"/>
      <c r="Q32" s="180"/>
    </row>
    <row r="33" spans="14:17" ht="15" customHeight="1">
      <c r="O33" s="145"/>
      <c r="P33" s="145"/>
      <c r="Q33" s="145"/>
    </row>
    <row r="35" spans="14:17" ht="15" customHeight="1">
      <c r="N35" t="s">
        <v>588</v>
      </c>
    </row>
    <row r="39" spans="14:17" ht="15" customHeight="1">
      <c r="O39" s="68"/>
      <c r="P39" s="183"/>
    </row>
    <row r="40" spans="14:17" ht="15" customHeight="1">
      <c r="O40" s="68"/>
      <c r="P40" s="183"/>
    </row>
    <row r="41" spans="14:17" ht="15" customHeight="1">
      <c r="O41" s="68"/>
      <c r="P41" s="183"/>
    </row>
  </sheetData>
  <mergeCells count="6">
    <mergeCell ref="O30:P30"/>
    <mergeCell ref="O8:P8"/>
    <mergeCell ref="O18:P18"/>
    <mergeCell ref="O3:R3"/>
    <mergeCell ref="O28:P28"/>
    <mergeCell ref="O9:P9"/>
  </mergeCells>
  <pageMargins left="0.7" right="0.7" top="0.75" bottom="0.75" header="0.3" footer="0.3"/>
  <pageSetup orientation="portrait" horizontalDpi="1200" verticalDpi="120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113</vt:i4>
      </vt:variant>
    </vt:vector>
  </HeadingPairs>
  <TitlesOfParts>
    <vt:vector size="122" baseType="lpstr">
      <vt:lpstr>UserInterface</vt:lpstr>
      <vt:lpstr>QGIS</vt:lpstr>
      <vt:lpstr>Gas Flow Calculations</vt:lpstr>
      <vt:lpstr>Oil Calculations</vt:lpstr>
      <vt:lpstr>raw</vt:lpstr>
      <vt:lpstr>Mechanical Calculations</vt:lpstr>
      <vt:lpstr>Asme Standards</vt:lpstr>
      <vt:lpstr>Cost Estimation</vt:lpstr>
      <vt:lpstr>Report</vt:lpstr>
      <vt:lpstr>arcgis</vt:lpstr>
      <vt:lpstr>avgvgas</vt:lpstr>
      <vt:lpstr>avkv</vt:lpstr>
      <vt:lpstr>brcgis</vt:lpstr>
      <vt:lpstr>cahngecell</vt:lpstr>
      <vt:lpstr>ccno</vt:lpstr>
      <vt:lpstr>chngcell</vt:lpstr>
      <vt:lpstr>chngcell1</vt:lpstr>
      <vt:lpstr>ct</vt:lpstr>
      <vt:lpstr>cunngis</vt:lpstr>
      <vt:lpstr>dano</vt:lpstr>
      <vt:lpstr>delp</vt:lpstr>
      <vt:lpstr>delpinput</vt:lpstr>
      <vt:lpstr>delpinputt</vt:lpstr>
      <vt:lpstr>delpno</vt:lpstr>
      <vt:lpstr>dgout</vt:lpstr>
      <vt:lpstr>diafa</vt:lpstr>
      <vt:lpstr>diamc</vt:lpstr>
      <vt:lpstr>diameter</vt:lpstr>
      <vt:lpstr>diameter1</vt:lpstr>
      <vt:lpstr>diameter2</vt:lpstr>
      <vt:lpstr>diffft</vt:lpstr>
      <vt:lpstr>diffpno</vt:lpstr>
      <vt:lpstr>diffpt</vt:lpstr>
      <vt:lpstr>diffpto</vt:lpstr>
      <vt:lpstr>diffptr</vt:lpstr>
      <vt:lpstr>difftt</vt:lpstr>
      <vt:lpstr>diffttt</vt:lpstr>
      <vt:lpstr>doout</vt:lpstr>
      <vt:lpstr>edno</vt:lpstr>
      <vt:lpstr>fgin</vt:lpstr>
      <vt:lpstr>fhinput</vt:lpstr>
      <vt:lpstr>fhqgis</vt:lpstr>
      <vt:lpstr>finalp</vt:lpstr>
      <vt:lpstr>fllin</vt:lpstr>
      <vt:lpstr>flowrate</vt:lpstr>
      <vt:lpstr>fluidtypin</vt:lpstr>
      <vt:lpstr>flwo</vt:lpstr>
      <vt:lpstr>fmopout</vt:lpstr>
      <vt:lpstr>frtbm</vt:lpstr>
      <vt:lpstr>fueltypin</vt:lpstr>
      <vt:lpstr>fueltypo</vt:lpstr>
      <vt:lpstr>gcinp1</vt:lpstr>
      <vt:lpstr>gcinp10</vt:lpstr>
      <vt:lpstr>gcinp11</vt:lpstr>
      <vt:lpstr>gcinp12</vt:lpstr>
      <vt:lpstr>gcinp13</vt:lpstr>
      <vt:lpstr>gcinp2</vt:lpstr>
      <vt:lpstr>gcinp3</vt:lpstr>
      <vt:lpstr>gcinp4</vt:lpstr>
      <vt:lpstr>gcinp5</vt:lpstr>
      <vt:lpstr>gcinp6</vt:lpstr>
      <vt:lpstr>gcinp7</vt:lpstr>
      <vt:lpstr>gcinp8</vt:lpstr>
      <vt:lpstr>gcinp9</vt:lpstr>
      <vt:lpstr>gclqgis</vt:lpstr>
      <vt:lpstr>gco</vt:lpstr>
      <vt:lpstr>ihqgis</vt:lpstr>
      <vt:lpstr>inhinput</vt:lpstr>
      <vt:lpstr>lclqgis</vt:lpstr>
      <vt:lpstr>length</vt:lpstr>
      <vt:lpstr>Linput</vt:lpstr>
      <vt:lpstr>Linputt</vt:lpstr>
      <vt:lpstr>liqgis</vt:lpstr>
      <vt:lpstr>lno</vt:lpstr>
      <vt:lpstr>maxgop</vt:lpstr>
      <vt:lpstr>maxlop</vt:lpstr>
      <vt:lpstr>maxopout</vt:lpstr>
      <vt:lpstr>maxxp</vt:lpstr>
      <vt:lpstr>mcd</vt:lpstr>
      <vt:lpstr>mcdd</vt:lpstr>
      <vt:lpstr>mcgis</vt:lpstr>
      <vt:lpstr>mct</vt:lpstr>
      <vt:lpstr>mctt</vt:lpstr>
      <vt:lpstr>mcw</vt:lpstr>
      <vt:lpstr>mcww</vt:lpstr>
      <vt:lpstr>mwgas</vt:lpstr>
      <vt:lpstr>nccqgis</vt:lpstr>
      <vt:lpstr>ncrcgis</vt:lpstr>
      <vt:lpstr>nircqgis</vt:lpstr>
      <vt:lpstr>nsnct</vt:lpstr>
      <vt:lpstr>ntrcqgis</vt:lpstr>
      <vt:lpstr>optpmc</vt:lpstr>
      <vt:lpstr>pgin</vt:lpstr>
      <vt:lpstr>pginn</vt:lpstr>
      <vt:lpstr>piper</vt:lpstr>
      <vt:lpstr>piperno</vt:lpstr>
      <vt:lpstr>polqgis</vt:lpstr>
      <vt:lpstr>rdia</vt:lpstr>
      <vt:lpstr>red</vt:lpstr>
      <vt:lpstr>redft</vt:lpstr>
      <vt:lpstr>rend1</vt:lpstr>
      <vt:lpstr>reno</vt:lpstr>
      <vt:lpstr>sci</vt:lpstr>
      <vt:lpstr>sdia</vt:lpstr>
      <vt:lpstr>sdn</vt:lpstr>
      <vt:lpstr>setcell</vt:lpstr>
      <vt:lpstr>setcell1</vt:lpstr>
      <vt:lpstr>stcno</vt:lpstr>
      <vt:lpstr>sthic</vt:lpstr>
      <vt:lpstr>target</vt:lpstr>
      <vt:lpstr>'Cost Estimation'!tcost</vt:lpstr>
      <vt:lpstr>'Cost Estimation'!tpcost</vt:lpstr>
      <vt:lpstr>tpcostt</vt:lpstr>
      <vt:lpstr>trgt</vt:lpstr>
      <vt:lpstr>uncgis</vt:lpstr>
      <vt:lpstr>unkgis</vt:lpstr>
      <vt:lpstr>upd</vt:lpstr>
      <vt:lpstr>updn</vt:lpstr>
      <vt:lpstr>upsn</vt:lpstr>
      <vt:lpstr>upt</vt:lpstr>
      <vt:lpstr>upw</vt:lpstr>
      <vt:lpstr>Usedrange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muntazair  Mehdi</dc:creator>
  <cp:lastModifiedBy>u2020530</cp:lastModifiedBy>
  <dcterms:created xsi:type="dcterms:W3CDTF">2023-10-07T10:08:13Z</dcterms:created>
  <dcterms:modified xsi:type="dcterms:W3CDTF">2024-03-12T15:37:26Z</dcterms:modified>
</cp:coreProperties>
</file>